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uyên tắc" sheetId="1" r:id="rId4"/>
    <sheet state="visible" name="Tổng quan ca" sheetId="2" r:id="rId5"/>
    <sheet state="visible" name="Đánh giá tiến độ cũ" sheetId="3" r:id="rId6"/>
    <sheet state="visible" name="Tiến độ mới Lớp 6" sheetId="4" r:id="rId7"/>
    <sheet state="visible" name="Tiến độ mới Lớp 7" sheetId="5" r:id="rId8"/>
    <sheet state="visible" name="Tiến độ mới Lớp 8" sheetId="6" r:id="rId9"/>
    <sheet state="visible" name="Tiến độ mới Lớp 9" sheetId="7" r:id="rId10"/>
  </sheets>
  <definedNames>
    <definedName hidden="1" localSheetId="3" name="_xlnm._FilterDatabase">'Tiến độ mới Lớp 6'!$A$4:$M$94</definedName>
    <definedName hidden="1" localSheetId="4" name="_xlnm._FilterDatabase">'Tiến độ mới Lớp 7'!$A$4:$M$94</definedName>
    <definedName hidden="1" localSheetId="5" name="_xlnm._FilterDatabase">'Tiến độ mới Lớp 8'!$A$4:$M$94</definedName>
    <definedName hidden="1" localSheetId="6" name="_xlnm._FilterDatabase">'Tiến độ mới Lớp 9'!$A$4:$M$95</definedName>
  </definedNames>
  <calcPr/>
  <extLst>
    <ext uri="GoogleSheetsCustomDataVersion2">
      <go:sheetsCustomData xmlns:go="http://customooxmlschemas.google.com/" r:id="rId11" roundtripDataChecksum="ymTB4oPTLJzOuAih3x5d+s3fipknySFcSRfoiUQHO4I="/>
    </ext>
  </extLst>
</workbook>
</file>

<file path=xl/sharedStrings.xml><?xml version="1.0" encoding="utf-8"?>
<sst xmlns="http://schemas.openxmlformats.org/spreadsheetml/2006/main" count="3039" uniqueCount="1014">
  <si>
    <t>TIẾN ĐỘ MỚI LỚP B — NGUYÊN TẮC</t>
  </si>
  <si>
    <t>SỐ CA THEO LOẠI — tuần 4 đến tuần 45 (không tính ôn hè, Tết, sau kiểm tra cuối năm)</t>
  </si>
  <si>
    <t>ĐÁNH GIÁ TIẾN ĐỘ TRUNG TÂM HIỆN TẠI (bản 2025–2026) — số dòng là dòng trong sheet trung tâm của Google Sheet</t>
  </si>
  <si>
    <t>1. Đích điểm (Thầy chốt 15/09/2026): LỚP 6 ôn 10 điểm ở cả bốn kì; LỚP 7, 8, 9 ôn 10 điểm ở giữa kì I, 9,5 điểm ở cuối kì I, giữa kì II, cuối kì II.</t>
  </si>
  <si>
    <t xml:space="preserve">   • Ưu tiên số 1: thành thạo ~9 điểm phần cơ bản + vận dụng theo đúng nội dung đề; thời gian tối ưu được dành cho vài dạng nâng cao trọng tâm của từng kì.</t>
  </si>
  <si>
    <t xml:space="preserve">   • Lớp 6: mỗi kì 1 ca câu nâng cao cuối đề (VDC lớp 6 chỉ nằm ở câu cuối đề); câu khó phần hình luyện ở mức vận dụng.</t>
  </si>
  <si>
    <t>Khối</t>
  </si>
  <si>
    <t xml:space="preserve">   • Lớp 7–9, giữa kì I: 1 ca câu nâng cao đại số (3 dạng trọng tâm GK1) + 1 ca ý cuối bài hình.</t>
  </si>
  <si>
    <t xml:space="preserve">   • Lớp 7–9, các kì 9,5: HỌC câu nâng cao đại số (1 ca/kì — lớp 7, 8 mượn ca Hình, lớp 9 nằm trong ca Đại 180′), BỎ ý cuối bài hình. Dạng đã là trọng tâm kì trước ghi 'trùng … — ôn lại'.</t>
  </si>
  <si>
    <t xml:space="preserve">   • config/ban_do_vd_vdc.json (v1.2) khớp luật này: chương hình thi ở CK1/GK2/CK2 trần VDC = 0, đích 9,5; giữa kì I đích 10.</t>
  </si>
  <si>
    <t>2. Khung ca: 2 ca/tuần (1 Đại + 1 Hình), mỗi ca 90′ = GV giảng 25′ + luyện tập 55′ + giải lao 10′; BTVN 40′.</t>
  </si>
  <si>
    <t xml:space="preserve">   Riêng LỚP 9 (Thầy chốt 15/09/2026): ca Đại 180′ (165′ học + 15′ giải lao, như buổi Đại lớp 9 trong HUONG-DAN-PHAN-TANG-LOP.md), ca Hình 90′. Mỗi ca Đại ghi Phần 1 + Phần 2; tuần kiểm tra thì làm bài + chữa phần đại trong cùng ca Đại, ca Hình chữa phần hình; ca Hình không phải mượn cho Đại.</t>
  </si>
  <si>
    <t>TIẾN ĐỘ MỚI LỚP B — TOÁN 6 KẾT NỐI TRI THỨC · mỗi ca 90′ · 2 ca/tuần (1 Đại + 1 Hình)</t>
  </si>
  <si>
    <t xml:space="preserve">   Khi mạch Hình của kì đã xong sớm, ca Hình mượn cho dạng Đại nặng điểm (ghi 'Đại số (mượn ca Hình)').</t>
  </si>
  <si>
    <t>Mới: Bài mới</t>
  </si>
  <si>
    <t>Mạch</t>
  </si>
  <si>
    <t>Mới: Bài mới (gộp)</t>
  </si>
  <si>
    <t>Vấn đề</t>
  </si>
  <si>
    <t>3. Luật gộp:</t>
  </si>
  <si>
    <t>Mới: Luyện dạng</t>
  </si>
  <si>
    <t>Bằng chứng trong sheet trung tâm</t>
  </si>
  <si>
    <t>Mới: Vận dụng cao</t>
  </si>
  <si>
    <t xml:space="preserve">   • Chương không có Vận dụng trong đề (thống kê, biểu đồ, xác suất, hình khối – hình không gian, đối xứng lớp 6): gộp cả chương 1–2 ca.</t>
  </si>
  <si>
    <t>Ảnh hưởng tới đích lớp B</t>
  </si>
  <si>
    <t>Mới: Ôn – đề</t>
  </si>
  <si>
    <t>Xử lý trong tiến độ mới</t>
  </si>
  <si>
    <t xml:space="preserve">   • Bài chỉ nhận biết (tập hợp, khái niệm, bài 1 tiết) gộp với bài kế tiếp.</t>
  </si>
  <si>
    <t>Mới: Kiểm tra</t>
  </si>
  <si>
    <t>Chủ nhật tuần 1:</t>
  </si>
  <si>
    <t>Mới: Chữa đề</t>
  </si>
  <si>
    <t xml:space="preserve">   • Dạng Vận dụng nặng điểm (bài hình chứng minh, lập phương trình / hệ, rút gọn biểu thức và câu hỏi phụ, toán thực tế ƯCLN – BCNN…) tách ca riêng và có ca luyện dạng.</t>
  </si>
  <si>
    <t>Mới: mượn ca Hình cho Đại</t>
  </si>
  <si>
    <t>Chung</t>
  </si>
  <si>
    <t>Mới: tổng ca</t>
  </si>
  <si>
    <t xml:space="preserve">   • 'Luyện tập chung', 'Bài tập cuối chương' SGV không thành ca riêng: nhập vào ca luyện dạng hoặc ca ôn chương (cột Lí do ghi rõ).</t>
  </si>
  <si>
    <t>Phút ca Đại</t>
  </si>
  <si>
    <t xml:space="preserve">   • HĐ thực hành trải nghiệm không xếp ca; nội dung có ích (lãi kép, pha chế dung dịch, đo chiều cao…) lồng vào bài liên quan.</t>
  </si>
  <si>
    <t>Phút ca Hình</t>
  </si>
  <si>
    <t>Mới: tổng giờ dạy (giờ)</t>
  </si>
  <si>
    <t>Bài SGV phủ</t>
  </si>
  <si>
    <t xml:space="preserve">   • Bài toán thực tế 2–3 bước chấm là Thông hiểu (quy ước Thầy chốt 30/08/2026).</t>
  </si>
  <si>
    <t>Cũ: dòng kiểm tra</t>
  </si>
  <si>
    <t>Cũ: dòng ôn</t>
  </si>
  <si>
    <t>Cũ: dòng câu nâng cao</t>
  </si>
  <si>
    <t>Cũ: dòng bài / luyện</t>
  </si>
  <si>
    <t>4. Mốc kì thi (giữ nhịp tiến độ cũ): ôn tuần 16 · kiểm tra GK1 tuần 17–18 · ôn tuần 24 · kiểm tra CK1 tuần 25–26 · luyện sát thi tuần 27 · Tết tuần 34 · ôn tuần 35 · kiểm tra GK2 tuần 36–37 · ôn tuần 42 · kiểm tra CK2 tuần 43–44 · luyện sát thi tuần 45.</t>
  </si>
  <si>
    <t>Kiểm tra</t>
  </si>
  <si>
    <t xml:space="preserve">   Mỗi lần kiểm tra ở ca Đại thì ca Hình cùng tuần là ca chữa đề theo lỗi sai; lần 3 làm ở nhà.</t>
  </si>
  <si>
    <t>Lớp 6</t>
  </si>
  <si>
    <t>Nhiều ca kiểm tra nhưng không có ca chữa đề</t>
  </si>
  <si>
    <t>5. Lịch: tuần 1 = Chủ nhật 21/06/2026 (năm học 2026–2027). Sửa ô C2 ở mỗi sheet để dời lịch; tuần Tết đặt cố định ở tuần 34.</t>
  </si>
  <si>
    <t xml:space="preserve">   Ngày 15/09/2026 đang ở tuần 13: nếu áp dụng ngay cho lớp đang học thì nối từ tuần 13, các tuần trước dùng để đối chiếu.</t>
  </si>
  <si>
    <t>6. Số liệu 'điểm TB/đề' lấy từ ma trận đề Hà Nội đã có trong repo: lớp 6 HK1 (20 đề), lớp 7 CK1 (18 đề KNTT) + GK1 phần hình (14 đề), lớp 8 CK1 (24 đề KNTT) + ma trận 4 kì (GK2, CK2), lớp 9 GK1 (10 đề) + CK1 (30 đề) + vào 10. Chỗ chưa có ma trận thì cột để trống, không ước lượng.</t>
  </si>
  <si>
    <t xml:space="preserve">   Lưu ý: ma trận 4 kì lớp 8 dựng trước khi lọc đề KNTT nên số liệu GK2, CK2 lớp 8 chỉ dùng để định hướng.</t>
  </si>
  <si>
    <t>Đích điểm lớp B: 10đ ở cả bốn kì (mỗi kì 1 ca câu nâng cao cuối đề).  Sửa ô vàng C2 để dời cả lịch; tuần Tết đặt ở tuần 34 (Tết 2027).</t>
  </si>
  <si>
    <t>7. Kiểm tra tự động khi dựng: mỗi tuần đúng 1 ca Đại + 1 ca Hình; mỗi bài SGV (trừ HĐ trải nghiệm) nằm đúng một ca.</t>
  </si>
  <si>
    <t>Mỗi kì 2–4 ca kiểm tra tại lớp, không dòng nào là chữa đề. Lớp 9 Đại số dòng 17–20 (GK1 4 lần) và 27–30 (HK1 4 lần); Lớp 9 hình dòng 18–21, 28–31.</t>
  </si>
  <si>
    <t>Đích 10 và 9,5 cần sửa đúng lỗi sai sau mỗi lần kiểm tra.</t>
  </si>
  <si>
    <t>Mỗi kì: 2 lần kiểm tra ở ca Đại + 2 ca chữa đề theo lỗi ở ca Hình cùng tuần; lần 3 làm ở nhà. Lớp 9: làm bài + chữa phần đại trong ca Đại 180′, ca Hình chữa phần hình.</t>
  </si>
  <si>
    <t>43/43</t>
  </si>
  <si>
    <t>Câu nâng cao</t>
  </si>
  <si>
    <t>[Đại] = nội dung Đại số xếp vào ca Hình.  Cột L đối chiếu tiến độ cũ 2025–2026 cùng số tuần (ngày ghi sai năm đã quy về đúng năm học).</t>
  </si>
  <si>
    <t>Không khối nào có ca riêng cho câu nâng cao cuối đề</t>
  </si>
  <si>
    <t>Lớp 7</t>
  </si>
  <si>
    <t>Tìm 'nâng cao' / 'vận dụng cao' trong 7 sheet trung tâm: 0 dòng.</t>
  </si>
  <si>
    <t>Lớp 6 đích 10 ở mọi kì, lớp 7–9 giữa kì I đích 10: không được nhường 0,5đ câu cuối.</t>
  </si>
  <si>
    <t>Mỗi kì 1 ca câu nâng cao đại số theo dạng trọng tâm của kì (cả 4 khối, cả 4 kì; dạng trùng kì trước ghi 'ôn lại'). Giữa kì I lớp 7–9 thêm 1 ca ý cuối bài hình; các kì 9,5 bỏ ý cuối hình.</t>
  </si>
  <si>
    <t>Tuần</t>
  </si>
  <si>
    <t>37/37</t>
  </si>
  <si>
    <t>Hạn dạy (CN)</t>
  </si>
  <si>
    <t>Lớp 8</t>
  </si>
  <si>
    <t>Hướng tới kì</t>
  </si>
  <si>
    <t>Thời lượng</t>
  </si>
  <si>
    <t>Gộp</t>
  </si>
  <si>
    <t>Nội dung ca</t>
  </si>
  <si>
    <t>Chương thống kê – xác suất – hình khối dạy 3–5 ca mỗi chương</t>
  </si>
  <si>
    <t>39/39</t>
  </si>
  <si>
    <t>Bài SGV gộp vào ca</t>
  </si>
  <si>
    <t>Lớp 6 trung tâm dòng 62–67 (4 ca); Lớp 7 Đại số dòng 22–25 (4 ca), 46–48 (3 ca); Lớp 7 hình dòng 43–45 (3 ca); Lớp 8 Đại số dòng 20–24 (4 ca), 47–48 (2 ca); Lớp 8 hình dòng 43–45 (3 ca); Lớp 9 Đại số dòng 31–35 (5 ca).</t>
  </si>
  <si>
    <t>Tiết SGV</t>
  </si>
  <si>
    <t>Đề chỉ hỏi 2–3 bước (Thông hiểu) nên nhiều ca cho phần điểm dễ.</t>
  </si>
  <si>
    <t>Loại ca</t>
  </si>
  <si>
    <t>Lớp 9</t>
  </si>
  <si>
    <t>Mỗi chương gộp còn 1–2 ca; giờ dư dồn cho dạng Vận dụng nặng điểm.</t>
  </si>
  <si>
    <t>Dạng thi trọng tâm (điểm TB/đề)</t>
  </si>
  <si>
    <t>Mức cần chắc</t>
  </si>
  <si>
    <t>Kiểm tra chương</t>
  </si>
  <si>
    <t>Lí do gộp / ghi chú</t>
  </si>
  <si>
    <t>Ca 'Kiểm tra chủ đề / chương / chuyên đề' giữa kì</t>
  </si>
  <si>
    <t>Lớp 6 trung tâm dòng 14, 55, 68; Lớp 7 Đại số dòng 14, 36, 45, 48; Lớp 7 hình dòng 42; Lớp 8 Đại số dòng 12, 36; Lớp 8 hình dòng 13; Lớp 9 Đại số dòng 9; Lớp 9 hình dòng 9.</t>
  </si>
  <si>
    <t>Tiến độ cũ cùng tuần (đối chiếu)</t>
  </si>
  <si>
    <t>Mỗi ca kiểm tra chương là một ca không luyện dạng.</t>
  </si>
  <si>
    <t>Bỏ khỏi ca; kiểm tra chương làm bài test ngắn trong ca ôn chương hoặc BTVN.</t>
  </si>
  <si>
    <t>Đại + Hình</t>
  </si>
  <si>
    <t>Mạch và số tuần ghi lẫn</t>
  </si>
  <si>
    <t>Dòng 11 ghi ca 'Hình' nhưng nội dung 'Lũy thừa với số mũ tự nhiên'; số tuần lặp: 27, 28 (dòng 45–50), 39 (dòng 74, 76); hè 1 ca/tuần, có tuần 'Đại x2' (dòng 20).</t>
  </si>
  <si>
    <t>Khó biết tuần nào dạy gì, ca nào.</t>
  </si>
  <si>
    <t xml:space="preserve">Link tài liệu </t>
  </si>
  <si>
    <t>Mỗi dòng = 1 ca, cột Mạch ghi rõ; ca Hình mượn cho Đại ghi 'Đại số (mượn ca Hình)'.</t>
  </si>
  <si>
    <t>32/32</t>
  </si>
  <si>
    <t>Thiếu ca cho bài SGV</t>
  </si>
  <si>
    <t>Cột Tiến độ trung tâm không có: Bài 27 'Hai bài toán về phân số', Bài 35 'Trung điểm của đoạn thẳng', Bài 37 'Số đo góc'.</t>
  </si>
  <si>
    <t>Bài 27 là dạng toán thực tế phân số của GK2.</t>
  </si>
  <si>
    <t>Bài 27 → tuần 32 (Đại); Bài 35 → tuần 29 (Hình); Bài 37 → tuần 33 (Hình).</t>
  </si>
  <si>
    <t>Cột 'Cũ' đếm DÒNG trong sheet trung tâm (lớp 6 là một sheet chung, có tuần xếp 2 nội dung vào một dòng) nên chỉ để so tỉ lệ kiểm tra – ôn – bài, không so từng ca.</t>
  </si>
  <si>
    <t>Số chương lệch SGV KNTT</t>
  </si>
  <si>
    <t>'Chương 5. Phân số', 'Chương 6. Số thập phân', 'Chương 7. Những hình học cơ bản', 'Chương IV – thống kê và xác suất' (SGV: VI, VII, VIII, IX).</t>
  </si>
  <si>
    <t>Khó đối chiếu với đề và phiếu tầng B (khai theo chương SGV).</t>
  </si>
  <si>
    <t>Tiến độ mới ghi đúng tên bài SGV.</t>
  </si>
  <si>
    <t>Đại số</t>
  </si>
  <si>
    <t>Tỉ lệ thức dạy sau cuối kì I</t>
  </si>
  <si>
    <t>Đại số dòng 32–33: tỉ lệ thức, dãy tỉ số từ 21/12. Ma trận 18 đề CK1 KNTT Hà Nội: 16/18 đề có tỉ lệ thức – dãy tỉ số (0,53đ/đề); dãy tỉ số là dạng câu nâng cao CK1 hay gặp nhất (7/16 câu).</t>
  </si>
  <si>
    <t>HS vào thi CK1 chưa học phần đề đã hỏi.</t>
  </si>
  <si>
    <t>Bài 20–21 kéo lên tuần 21–22 (ca Đại nửa sau kì I vốn nhẹ).</t>
  </si>
  <si>
    <t>Ca quá tải ở dạng Vận dụng</t>
  </si>
  <si>
    <t>Dòng 34 gộp tỉ lệ thuận + tỉ lệ nghịch (4 tiết); dòng 40 gộp nhân + chia đa thức (5 tiết, ghi chú 'file gộp cả chương').</t>
  </si>
  <si>
    <t>Hai bài Vận dụng mỗi bài chỉ nửa ca.</t>
  </si>
  <si>
    <t>Tách: tỉ lệ thuận tuần 28, nghịch tuần 29; nhân đa thức tuần 33, chia tuần 32 (mượn ca Hình).</t>
  </si>
  <si>
    <t>Hình học</t>
  </si>
  <si>
    <t>Ôn GK1 phần hình 3 ca, bài tam giác bằng nhau 5 ca</t>
  </si>
  <si>
    <t>Hình dòng 15–17 (3 ca ôn GK1); dòng 20–24 (5 ca chương IV) trong khi bài hình tam giác bằng nhau 3,12đ/đề CK1.</t>
  </si>
  <si>
    <t>Thiếu ca luyện bài hình CK1 (ý a, b).</t>
  </si>
  <si>
    <t>Ôn GK1 1 ca; chương IV có ca bài hình ý a, b (tuần 21); đích 9,5 bỏ ý cuối hình, ca tuần 23 dành cho câu nâng cao đại số CK1.</t>
  </si>
  <si>
    <t>Chương VII dạy sau kiểm tra GK2</t>
  </si>
  <si>
    <t>Đại số dòng 40–42: kiểm tra GK2 23/02, chương VII bắt đầu 02/03. SGV đặt chương VII trước ôn GK2; ma trận GK2 Hà Nội hỏi hàm số 0,90đ, phương trình 0,44đ.</t>
  </si>
  <si>
    <t>HS thi GK2 ở trường khi chưa học phương trình, hàm số.</t>
  </si>
  <si>
    <t>Gộp thống kê (tuần 19–20) để bắt đầu phân thức tuần 22; chương VII tuần 30–33 (+ tuần 32 mượn ca Hình).</t>
  </si>
  <si>
    <t>Thời lượng không phải ca 90′</t>
  </si>
  <si>
    <t>Cột 'Thời lượng (phút)': 9′ (dòng 4), 45′ (dòng 10–11), 75′ (dòng 17), 30′ (dòng 25, 53).</t>
  </si>
  <si>
    <t>Không khớp khung ca 90′ của lớp B.</t>
  </si>
  <si>
    <t>Mọi ca 90′ (GV giảng 25′ + luyện tập 55′ + giải lao 10′, BTVN 40′).</t>
  </si>
  <si>
    <t>Ghi nhầm và dư ca</t>
  </si>
  <si>
    <t>Dòng 29 ghi 'KT học kì 2 lần 2' giữa học kì I; tuần nhảy 32 → 34 → 36 (dòng 35–37); ôn GK2 3 ca (dòng 37–40); hình chóp 3 ca (dòng 43–45).</t>
  </si>
  <si>
    <t>Dư 4 ca cho phần điểm thấp.</t>
  </si>
  <si>
    <t>Ôn GK2 1 ca; hình chóp gộp 1 ca (tuần 38); giờ dư cho bài hình đồng dạng (3,07đ/đề CK2).</t>
  </si>
  <si>
    <t>Thiếu dạng lập hệ trước GK1</t>
  </si>
  <si>
    <t>Đại số dòng 5–20 chỉ có giải hệ, không có 'Giải bài toán bằng cách lập hệ phương trình'; không có toán thực tế lập PT/BPT.</t>
  </si>
  <si>
    <t>Lập hệ thực tế 1,85đ/đề (10/10 đề GK1); lập PT/BPT thực tế 1,31đ/đề GK1.</t>
  </si>
  <si>
    <t>Lập hệ tuần 6–7; thực tế lập PT/BPT tuần 11.</t>
  </si>
  <si>
    <t>Tên bài theo chương trình cũ</t>
  </si>
  <si>
    <t>Đại số dòng 22 'Liên hệ giữa phép nhân và phép chia với phép khai phương'; Hình dòng 16, 22 'Góc ở tâm. Góc nội tiếp'; dòng 38 'Ôn tập chương HHKG'.</t>
  </si>
  <si>
    <t>Dễ dùng nhầm tài liệu chương trình cũ.</t>
  </si>
  <si>
    <t>Hè</t>
  </si>
  <si>
    <t>Ghi đúng tên bài SGV KNTT.</t>
  </si>
  <si>
    <t>Chương IV trước GK1 mỏng</t>
  </si>
  <si>
    <t>Hình dòng 5–9: tỉ số lượng giác 3 ca + ôn + kiểm tra chương; dòng 10–16 dạy 7 ca đường tròn (thi CK1) trước GK1; ôn GK1 1 ca (dòng 17). Dòng 12 ghi 28/09/2024 đứng giữa 24/08 và 31/08.</t>
  </si>
  <si>
    <t>Phần hình GK1 có 11 câu mức VDC trong 10 đề; đích GK1 10.</t>
  </si>
  <si>
    <t>Chương IV 7 ca (có ca bài hình ý a, b và ca ý cuối), đường tròn bắt đầu tuần 11.</t>
  </si>
  <si>
    <t>90′</t>
  </si>
  <si>
    <t>Ôn tập số tự nhiên, phân số, hỗn số (Toán 5)</t>
  </si>
  <si>
    <t>Phương trình bậc hai chỉ 1 ca</t>
  </si>
  <si>
    <t>Đại số dòng 37: 'Phương trình bậc hai một ẩn' 1 ca; thống kê – xác suất 5 ca (dòng 31–35).</t>
  </si>
  <si>
    <t>Phương trình bậc hai 1,45đ/đề vào 10.</t>
  </si>
  <si>
    <t>Ôn hè</t>
  </si>
  <si>
    <t>Ca Đại 180′: phương trình bậc hai 2 phần, Viète 2 phần, lập phương trình bậc hai 1 phần; thống kê và xác suất mỗi chương 1 phần.</t>
  </si>
  <si>
    <t>Giữ như tiến độ cũ</t>
  </si>
  <si>
    <t>—</t>
  </si>
  <si>
    <t>Hè 1 ca/tuần</t>
  </si>
  <si>
    <t>Ôn tập tỉ số phần trăm</t>
  </si>
  <si>
    <t>Ôn tập toán chuyển động đều</t>
  </si>
  <si>
    <t>Ôn tập diện tích tam giác, hình thang</t>
  </si>
  <si>
    <t>Kiểm tra khảo sát Tháng 7</t>
  </si>
  <si>
    <t>Kiểm tra khảo sát tháng 7</t>
  </si>
  <si>
    <t>Giữa kì I</t>
  </si>
  <si>
    <t>Tập hợp · cách ghi số tự nhiên · thứ tự trong tập hợp số tự nhiên</t>
  </si>
  <si>
    <t>Bài 1. Tập hợp
Bài 2. Cách ghi số tự nhiên
Bài 3. Thứ tự trong tập hợp các số tự nhiên</t>
  </si>
  <si>
    <t>TIẾN ĐỘ MỚI LỚP B — TOÁN 7 KẾT NỐI TRI THỨC · mỗi ca 90′ · 2 ca/tuần (1 Đại + 1 Hình)</t>
  </si>
  <si>
    <t>Bài mới (gộp)</t>
  </si>
  <si>
    <t>Tập hợp 0,50đ/đề GK1 · số tự nhiên, thứ tự 0,17đ</t>
  </si>
  <si>
    <t>Đích 10: chắc 9đ cơ bản – vận dụng + câu nâng cao cuối đề</t>
  </si>
  <si>
    <t>Ba bài chỉ nhận biết – thông hiểu → gộp (đúng ghi chú Thầy ở sheet Lớp 6)</t>
  </si>
  <si>
    <t>Chương 1. Tập hợp các số tự nhiên / Tập hợp, thứ tự, ghi số tự nhiên</t>
  </si>
  <si>
    <t>Tam giác đều · hình vuông · lục giác đều</t>
  </si>
  <si>
    <t>Bài 18. Hình tam giác đều. Hình vuông. Hình lục giác đều</t>
  </si>
  <si>
    <t>Đích điểm lớp B: GIỮA KÌ I 10đ · các kì sau 9,5đ (học câu nâng cao đại số, bỏ ý cuối bài hình).  Sửa ô vàng C2 để dời cả lịch; tuần Tết đặt ở tuần 34 (Tết 2027).</t>
  </si>
  <si>
    <t>Bài mới</t>
  </si>
  <si>
    <t>Nhận dạng hình 0,40đ/đề GK1</t>
  </si>
  <si>
    <t>Đề GK1 Hà Nội có phần hình phẳng (≈25% điểm) nên dạy trước GK1 như tiến độ cũ</t>
  </si>
  <si>
    <t>Cộng, trừ, nhân, chia số tự nhiên · tìm x một bước</t>
  </si>
  <si>
    <t>Bài 4. Phép cộng và phép trừ số tự nhiên
Bài 5. Phép nhân và phép chia số tự nhiên</t>
  </si>
  <si>
    <t>Tìm x 1,45đ/đề GK1</t>
  </si>
  <si>
    <t>Gộp hai bài phép tính, dành giờ cho tìm x</t>
  </si>
  <si>
    <t>Hình chữ nhật · hình thoi · hình bình hành · hình thang cân</t>
  </si>
  <si>
    <t>Bài 19. Hình chữ nhật. Hình thoi. Hình bình hành. Hình thang cân</t>
  </si>
  <si>
    <t>Chương 3. Hình học trực quan / Tam giác đều - Lục giác đều - Hình vuông</t>
  </si>
  <si>
    <t>Luỹ thừa với số mũ tự nhiên: viết gọn, nhân chia hai luỹ thừa cùng cơ số</t>
  </si>
  <si>
    <t>Bài 6. Luỹ thừa với số mũ tự nhiên</t>
  </si>
  <si>
    <t>Luỹ thừa 1,82đ/đề GK1 · 1,30đ CK1</t>
  </si>
  <si>
    <t>Tách riêng: dạng điểm cao thứ hai của GK1</t>
  </si>
  <si>
    <t>Phép cộng và phép trừ số tự nhiên</t>
  </si>
  <si>
    <t>Ôn tập số nguyên · ước và bội</t>
  </si>
  <si>
    <t>Chu vi và diện tích các tứ giác đã học</t>
  </si>
  <si>
    <t>Bài 20. Chu vi và diện tích của một số tứ giác đã học</t>
  </si>
  <si>
    <t>Ôn tập số nguyên. Ôn tập ước, bội</t>
  </si>
  <si>
    <t>Chu vi – diện tích 1,12đ GK1 · 1,60đ/đề CK1</t>
  </si>
  <si>
    <t>Tam giác đều - Lục giác đều - Hình vuông</t>
  </si>
  <si>
    <t>Ôn tập đoạn thẳng, góc</t>
  </si>
  <si>
    <t>Thứ tự thực hiện các phép tính · tính hợp lí</t>
  </si>
  <si>
    <t>Bài 7. Thứ tự thực hiện các phép tính</t>
  </si>
  <si>
    <t>Thứ tự phép tính – tính hợp lí 2,48đ/đề GK1 (10/10 đề)</t>
  </si>
  <si>
    <t>Dạng nặng điểm nhất GK1</t>
  </si>
  <si>
    <t>Phép nhân và phép chia số tự nhiên</t>
  </si>
  <si>
    <t>Ôn tập thứ tự thực hiện phép tính</t>
  </si>
  <si>
    <t>Toán thực tế chu vi – diện tích (lát gạch, hàng rào, sơn tường, chi phí)</t>
  </si>
  <si>
    <t>Luyện dạng</t>
  </si>
  <si>
    <t>0,93đ GK1 · 0,82đ/đề CK1</t>
  </si>
  <si>
    <t>Nhận Luyện tập chung chương IV</t>
  </si>
  <si>
    <t>Lũy thừa với số mũ tự nhiên</t>
  </si>
  <si>
    <t>Ôn tập đoạn thẳng, góc (tiếp)</t>
  </si>
  <si>
    <t>Luyện tìm x có luỹ thừa, có ngoặc · ôn chương I</t>
  </si>
  <si>
    <t>Nhận Luyện tập chung + Bài tập cuối chương I</t>
  </si>
  <si>
    <t>Phép tính lũy thừa với số mũ tự nhiên</t>
  </si>
  <si>
    <t>Ôn tập phân số, số thập phân</t>
  </si>
  <si>
    <t>Hình ghép – cắt hình: chu vi, diện tích hình ghép</t>
  </si>
  <si>
    <t>Câu khó phần hình 0,50đ (5/10 đề GK1)</t>
  </si>
  <si>
    <t>Lớp 6 chỉ câu cuối đề là VDC; đích 10 nên vẫn luyện. Nhận Bài tập cuối chương IV</t>
  </si>
  <si>
    <t>Hình chữ nhật - Hình thoi</t>
  </si>
  <si>
    <t>Quan hệ chia hết · dấu hiệu chia hết cho 2, 3, 5, 9 (tìm chữ số)</t>
  </si>
  <si>
    <t>Bài 8. Quan hệ chia hết và tính chất
Bài 9. Dấu hiệu chia hết</t>
  </si>
  <si>
    <t>Chia hết 0,70đ · dấu hiệu 0,53đ/đề GK1</t>
  </si>
  <si>
    <t>Thứ tự thực hiện phép tính</t>
  </si>
  <si>
    <t>Ôn tập tỉ số phần trăm · Kiểm tra khảo sát Tháng 7</t>
  </si>
  <si>
    <t>Hình có trục đối xứng · hình có tâm đối xứng</t>
  </si>
  <si>
    <t>Bài 21. Hình có trục đối xứng
Bài 22. Hình có tâm đối xứng</t>
  </si>
  <si>
    <t>Đối xứng 0,35đ/đề CK1, chỉ nhận biết</t>
  </si>
  <si>
    <t>Chương V không có Vận dụng → gộp cả chương 1 ca (cũ 2 ca + ôn)</t>
  </si>
  <si>
    <t>Số nguyên tố · phân tích một số ra thừa số nguyên tố</t>
  </si>
  <si>
    <t>Bài 10. Số nguyên tố</t>
  </si>
  <si>
    <t>Số nguyên tố 0,42đ/đề GK1; nền của ƯCLN – BCNN</t>
  </si>
  <si>
    <t>Tập hợp số hữu tỉ · cộng, trừ, nhân, chia số hữu tỉ</t>
  </si>
  <si>
    <t>Kiểm tra chuyên đề</t>
  </si>
  <si>
    <t>Bài 1. Tập hợp các số hữu tỉ
Bài 2. Cộng, trừ, nhân, chia số hữu tỉ</t>
  </si>
  <si>
    <t>Phép tính số hữu tỉ – số thực 1,72đ/đề CK1</t>
  </si>
  <si>
    <t>Đích 10: lấy trọn câu nâng cao đại số và ý cuối bài hình</t>
  </si>
  <si>
    <t>Bài 1 chỉ nhận biết → gộp</t>
  </si>
  <si>
    <t>§1. Tập hợp các số hữu tỉ</t>
  </si>
  <si>
    <t>Đại số (mượn ca Hình)</t>
  </si>
  <si>
    <t>Góc ở vị trí đặc biệt · tia phân giác của một góc</t>
  </si>
  <si>
    <t>Luyện thứ tự phép tính – luỹ thừa mức vận dụng</t>
  </si>
  <si>
    <t>Bài 8. Góc ở vị trí đặc biệt. Tia phân giác của một góc</t>
  </si>
  <si>
    <t>2,48đ + 1,82đ/đề GK1</t>
  </si>
  <si>
    <t>Tia phân giác 0,57đ/đề — có ở 14/14 đề GK1</t>
  </si>
  <si>
    <t>Hình kì I đã xong sớm → mượn ca Hình cho dạng Đại nặng điểm (cũ cũng có tuần 'Đại x2')</t>
  </si>
  <si>
    <t>Góc ở vị trí đặc biệt. Tia phân giác của một góc</t>
  </si>
  <si>
    <t>Luyện tính hợp lí · toán thực tế phần trăm</t>
  </si>
  <si>
    <t>Ước chung · ước chung lớn nhất</t>
  </si>
  <si>
    <t>Bài 11. Ước chung. Ước chung lớn nhất</t>
  </si>
  <si>
    <t>Thực tế % là dạng câu nâng cao trọng tâm số 1 của GK1</t>
  </si>
  <si>
    <t>Ước – bội 0,82đ GK1 · ƯCLN – BCNN 2,08đ/đề CK1</t>
  </si>
  <si>
    <t>Nhận Luyện tập chung</t>
  </si>
  <si>
    <t>Chương 1. Tính chia hết trong tập hợp các số tự nhiên / Quan hệ chia hết - Ước và bội</t>
  </si>
  <si>
    <t>§2. Cộng, trừ, nhân, chia số hữu tỉ</t>
  </si>
  <si>
    <t>Luyện ước – bội, tìm x theo điều kiện ước, bội</t>
  </si>
  <si>
    <t>Luyện hai góc kề bù, đối đỉnh, tia phân giác (tính góc)</t>
  </si>
  <si>
    <t>0,82đ/đề GK1</t>
  </si>
  <si>
    <t>Kề bù 0,40đ · đối đỉnh 0,26đ/đề GK1</t>
  </si>
  <si>
    <t>TIẾN ĐỘ MỚI LỚP B — TOÁN 8 KẾT NỐI TRI THỨC · mỗi ca 90′ · 2 ca/tuần (1 Đại + 1 Hình)</t>
  </si>
  <si>
    <t>Mượn ca Hình</t>
  </si>
  <si>
    <t>Hình bình hành - Hình thang cân</t>
  </si>
  <si>
    <t>Góc ở vị trí đặc biệt. Tia phân giác của một góc (tiếp)</t>
  </si>
  <si>
    <t>Bội chung · bội chung nhỏ nhất</t>
  </si>
  <si>
    <t>Luỹ thừa với số mũ tự nhiên của số hữu tỉ</t>
  </si>
  <si>
    <t>Bài 12. Bội chung. Bội chung nhỏ nhất</t>
  </si>
  <si>
    <t>Bài 3. Luỹ thừa với số mũ tự nhiên của một số hữu tỉ</t>
  </si>
  <si>
    <t>ƯCLN – BCNN 2,08đ/đề CK1</t>
  </si>
  <si>
    <t>Dấu hiệu chia hết · Số nguyên tố - Phân tích một số ra thừa số nguyên tố</t>
  </si>
  <si>
    <t>Luyện tập cộng, trừ, nhân, chia số hữu tỉ · §3. Phép tính lũy thừa với số mũ tự nhiên của một số hữu tỉ</t>
  </si>
  <si>
    <t>Luyện dấu hiệu chia hết – số nguyên tố tổng hợp</t>
  </si>
  <si>
    <t>Hai đường thẳng song song và dấu hiệu nhận biết</t>
  </si>
  <si>
    <t>Bài 9. Hai đường thẳng song song và dấu hiệu nhận biết</t>
  </si>
  <si>
    <t>0,53đ + 0,42đ/đề GK1</t>
  </si>
  <si>
    <t>Chứng minh song song 0,35đ/đề GK1</t>
  </si>
  <si>
    <t>Toán thực tế ƯCLN – BCNN (chia nhóm, xếp hàng, chu kì gặp nhau)</t>
  </si>
  <si>
    <t>0,75đ GK1 (6/10 đề) · 1,68đ/đề CK1 (10/10 đề)</t>
  </si>
  <si>
    <t>Nhận Luyện tập chung + Bài tập cuối chương II</t>
  </si>
  <si>
    <t>Ước chung và ước chung lớn nhất · Bội chung và bội chung nhỏ nhất</t>
  </si>
  <si>
    <t>Đề luyện phần hình GK1 + chữa</t>
  </si>
  <si>
    <t>Luyện luỹ thừa: thu gọn, tính giá trị, so sánh</t>
  </si>
  <si>
    <t>Nền của 2 dạng câu nâng cao GK1 (thu gọn dãy luỹ thừa; so sánh luỹ thừa)</t>
  </si>
  <si>
    <t>§3. Phép tính lũy thừa với số mũ tự nhiên của một số hữu tỉ (tiếp)</t>
  </si>
  <si>
    <t>Ôn – đề</t>
  </si>
  <si>
    <t>Phần hình ≈2,5đ/đề GK1</t>
  </si>
  <si>
    <t>Bội chung và bội chung nhỏ nhất</t>
  </si>
  <si>
    <t>Tiên đề Euclid · tính chất của hai đường thẳng song song</t>
  </si>
  <si>
    <t>Bài 10. Tiên đề Euclid. Tính chất của hai đường thẳng song song</t>
  </si>
  <si>
    <t>Tính góc nhờ song song 0,40đ/đề GK1</t>
  </si>
  <si>
    <t>Hai đường thẳng song song và dấu hiệu nhận biết (tiếp)</t>
  </si>
  <si>
    <t>Câu nâng cao GK1: tổng luỹ thừa cùng cơ số – chứng minh chia hết · số nguyên tố · toán logic</t>
  </si>
  <si>
    <t>Vận dụng cao</t>
  </si>
  <si>
    <t>Thứ tự thực hiện phép tính · quy tắc chuyển vế · tìm x</t>
  </si>
  <si>
    <t>Bài 4. Thứ tự thực hiện các phép tính. Quy tắc chuyển vế</t>
  </si>
  <si>
    <t>3 dạng trọng tâm GK1 lớp 6 (tổng luỹ thừa – chia hết 9/13 câu; logic 1/13; số nguyên tố 1/13)</t>
  </si>
  <si>
    <t>Tìm x 1,46đ/đề CK1</t>
  </si>
  <si>
    <t>Đích 10 → phải có ca riêng; bài lấy từ ngân hàng câu nâng cao Hà Nội</t>
  </si>
  <si>
    <t>Ôn tập chương 1 - Tính chia hết trong tập số tự nhiên</t>
  </si>
  <si>
    <t>§4. Thứ tự thực hiện các phép tính, quy tắc chuyển vế</t>
  </si>
  <si>
    <t>Ôn tập Toán 7 (đại)</t>
  </si>
  <si>
    <t>Luyện tìm x tổng hợp mức vận dụng</t>
  </si>
  <si>
    <t>Luyện: từ vuông góc đến song song · tính góc</t>
  </si>
  <si>
    <t>0,41đ + 0,40đ/đề GK1</t>
  </si>
  <si>
    <t>Đại: Ôn tập toán 7</t>
  </si>
  <si>
    <t>Ôn tập chương 3 - Hình học trực quan</t>
  </si>
  <si>
    <t>Ôn tập góc, tia phân giác, hai đường thẳng song song</t>
  </si>
  <si>
    <t>Ôn tập Toán 7 (hình)</t>
  </si>
  <si>
    <t>Ôn giữa kì I: hệ thống dạng đại số · đề tổng hợp phần đại</t>
  </si>
  <si>
    <t>Hình: Ôn tập toán 7</t>
  </si>
  <si>
    <t>Luyện tìm x tổng hợp · ôn chương I</t>
  </si>
  <si>
    <t>Ôn tập kiểm tra giữa kì 1 · Ôn tập kiểm tra giữa kì 1</t>
  </si>
  <si>
    <t>Nhận Luyện tập chung + Bài tập cuối chương I; bỏ ca 'Kiểm tra chủ đề 1' của tiến độ cũ</t>
  </si>
  <si>
    <t>Ôn tập chủ đề 1</t>
  </si>
  <si>
    <t>Ôn giữa kì I: bài hình tổng hợp · câu khó phần hình</t>
  </si>
  <si>
    <t>Định lí và chứng minh định lí (GT – KL, trình bày chứng minh)</t>
  </si>
  <si>
    <t>Bài 11. Định lí và chứng minh định lí</t>
  </si>
  <si>
    <t>0,20đ/đề GK1</t>
  </si>
  <si>
    <t>Nền cho ý cuối bài hình</t>
  </si>
  <si>
    <t>Tiên đề Euclid. Tính chất của hai đường thẳng song song</t>
  </si>
  <si>
    <t>Ôn tập toán 7 - KT tháng</t>
  </si>
  <si>
    <t>Kiểm tra giữa kì I lần 1 — đề 90′ đủ Đại + Hình, làm tại lớp</t>
  </si>
  <si>
    <t>Kiểm tra giữa kì I lần 1</t>
  </si>
  <si>
    <t>Ôn tập toán 7</t>
  </si>
  <si>
    <t>Số thập phân vô hạn tuần hoàn · số vô tỉ, căn bậc hai số học</t>
  </si>
  <si>
    <t>Bài 5. Làm quen với số thập phân vô hạn tuần hoàn
Bài 6. Số vô tỉ. Căn bậc hai số học</t>
  </si>
  <si>
    <t>Chữa đề kiểm tra lần 1: chữa theo lỗi sai, luyện lại dạng mất điểm</t>
  </si>
  <si>
    <t>Nhận biết số thực 0,78đ/đề CK1 (chủ yếu trắc nghiệm)</t>
  </si>
  <si>
    <t>Hai bài nhận biết – thông hiểu → gộp</t>
  </si>
  <si>
    <t>Kiểm tra chủ đề 1</t>
  </si>
  <si>
    <t>Chữa đề</t>
  </si>
  <si>
    <t>Tiến độ cũ không có ca chữa đề</t>
  </si>
  <si>
    <t>Kiểm tra kiến thức quan trọng lớp 7</t>
  </si>
  <si>
    <t>Ý cuối bài hình GK1 (chứng minh, tính góc nhiều bước)</t>
  </si>
  <si>
    <t>Kiểm tra kiến thức quan trọng Lớp 7</t>
  </si>
  <si>
    <t>Ý cuối 0,82đ/đề — 25% phần hình GK1</t>
  </si>
  <si>
    <t>Đích 10 → bắt buộc luyện</t>
  </si>
  <si>
    <t>Tiên đề Euclid. Tính chất của hai đường thẳng song song (tiếp)</t>
  </si>
  <si>
    <t>Chữa bài kiểm tra · vá kiến thức hình lớp 7</t>
  </si>
  <si>
    <t>Thay ca kiểm tra trùng của tiến độ cũ</t>
  </si>
  <si>
    <t>Kiểm tra giữa kì I lần 2 — đề 90′ đủ Đại + Hình, làm tại lớp</t>
  </si>
  <si>
    <t>Tập hợp các số thực · giá trị tuyệt đối · làm tròn</t>
  </si>
  <si>
    <t>Bài 7. Tập hợp các số thực</t>
  </si>
  <si>
    <t>Lần 3 làm ở nhà như tiến độ cũ</t>
  </si>
  <si>
    <t>Kiểm tra giữa kì I lần 2</t>
  </si>
  <si>
    <t>§1. Làm quen với số thập phân vô hạn tuần hoàn / §2. Số vô tỉ. Căn bậc hai số học</t>
  </si>
  <si>
    <t>Chữa đề kiểm tra lần 2: chữa theo lỗi sai, luyện lại dạng mất điểm</t>
  </si>
  <si>
    <t>Đơn thức · đa thức</t>
  </si>
  <si>
    <t>Ôn chương III: bài hình tổng hợp · đề phần hình GK1</t>
  </si>
  <si>
    <t>Bài 1. Đơn thức
Bài 2. Đa thức</t>
  </si>
  <si>
    <t>Đa thức nhiều biến 1,29đ/đề CK1</t>
  </si>
  <si>
    <t>Phần hình 3,25đ/đề GK1</t>
  </si>
  <si>
    <t>Hai bài nhận biết → gộp</t>
  </si>
  <si>
    <t>Nhận Bài tập cuối chương III</t>
  </si>
  <si>
    <t>Chương I. Đa thức / Đơn thức, đa thức</t>
  </si>
  <si>
    <t>§4. Định lí và chứng minh định lý</t>
  </si>
  <si>
    <t>Cuối kì I</t>
  </si>
  <si>
    <t>Tứ giác · hình thang cân</t>
  </si>
  <si>
    <t>Bài 10. Tứ giác
Bài 11. Hình thang cân</t>
  </si>
  <si>
    <t>Tập hợp các số nguyên · số đối · so sánh</t>
  </si>
  <si>
    <t>Luyện |x|, căn bậc hai, tìm x có |x| · ôn chương II</t>
  </si>
  <si>
    <t>Bài 13. Tập hợp các số nguyên</t>
  </si>
  <si>
    <t>TIẾN ĐỘ MỚI LỚP B — TOÁN 9 KẾT NỐI TRI THỨC · ca Đại 180′ · ca Hình 90′ · 2 ca/tuần</t>
  </si>
  <si>
    <t>Số đối, so sánh: câu trắc nghiệm có ở 10/10 đề CK1</t>
  </si>
  <si>
    <t>§3. Tập hợp các số thực</t>
  </si>
  <si>
    <t>Chương 2. Số nguyên / Tập hợp các số nguyên</t>
  </si>
  <si>
    <t>Luyện ƯCLN – BCNN và toán thực tế mức vận dụng</t>
  </si>
  <si>
    <t>Tổng các góc trong một tam giác</t>
  </si>
  <si>
    <t>Bài 12. Tổng các góc trong một tam giác</t>
  </si>
  <si>
    <t>2,08đ + 1,68đ/đề CK1 — hai dạng nặng nhất CK1</t>
  </si>
  <si>
    <t>0,35đ/đề CK1; 3/14 đề GK1 đã hỏi</t>
  </si>
  <si>
    <t>Bài 10 nhận biết → gộp</t>
  </si>
  <si>
    <t>Dạy sớm để nửa sau kì I không dồn</t>
  </si>
  <si>
    <t>Chương 3: Tính đối xứng của hình phẳng trong thực tiễn / Hình có trục đối xứng</t>
  </si>
  <si>
    <t>Chương III. Tứ giác / Tứ giác</t>
  </si>
  <si>
    <t>Ôn tập chủ đề 2</t>
  </si>
  <si>
    <t>Cộng, trừ số nguyên · quy tắc dấu ngoặc</t>
  </si>
  <si>
    <t>Bài 14. Phép cộng và phép trừ số nguyên
Bài 15. Quy tắc dấu ngoặc</t>
  </si>
  <si>
    <t>Câu nâng cao GK1: toán thực tế % · thu gọn dãy luỹ thừa · so sánh luỹ thừa</t>
  </si>
  <si>
    <t>Cộng, trừ đa thức</t>
  </si>
  <si>
    <t>Bài 3. Phép cộng và phép trừ đa thức</t>
  </si>
  <si>
    <t>Phép tính số nguyên 1,68đ/đề CK1 (10/10 đề)</t>
  </si>
  <si>
    <t>3 dạng trọng tâm GK1 lớp 7 (mỗi dạng 3/10 câu)</t>
  </si>
  <si>
    <t>Quy tắc dấu ngoặc 1 tiết → gộp</t>
  </si>
  <si>
    <t>Đích 10 → phải có ca riêng (tiến độ cũ không có)</t>
  </si>
  <si>
    <t>Tập hợp các số nguyên · Phép cộng hai số nguyên</t>
  </si>
  <si>
    <t>§3. Tập hợp các số thực (tiếp)</t>
  </si>
  <si>
    <t>Phép cộng và phép trừ đa thức</t>
  </si>
  <si>
    <t>Luyện chu vi – diện tích thực tế · hình ghép</t>
  </si>
  <si>
    <t>Hai tam giác bằng nhau · trường hợp cạnh – cạnh – cạnh</t>
  </si>
  <si>
    <t>Bài 13. Hai tam giác bằng nhau. Trường hợp bằng nhau thứ nhất của tam giác</t>
  </si>
  <si>
    <t>1,60đ + 0,82đ + 0,55đ/đề CK1</t>
  </si>
  <si>
    <t>Hình bình hành</t>
  </si>
  <si>
    <t>Bài 12. Hình bình hành</t>
  </si>
  <si>
    <t>Phép cộng hai số nguyên</t>
  </si>
  <si>
    <t>Ôn tập giữa học kỳ I</t>
  </si>
  <si>
    <t>Hình thang - Hình thang cân · Luyện tập Hình thang - Hình thang cân</t>
  </si>
  <si>
    <t>Nhân số nguyên · phép chia hết, ước và bội của số nguyên</t>
  </si>
  <si>
    <t>Đề luyện GK1 phần đại + chữa</t>
  </si>
  <si>
    <t>Bài 16. Phép nhân số nguyên
Bài 17. Phép chia hết. Ước và bội của một số nguyên</t>
  </si>
  <si>
    <t>180′</t>
  </si>
  <si>
    <t>Phần 1 (90′): Ôn hằng đẳng thức, phân tích đa thức thành nhân tử
Phần 2 (90′): Ôn phân thức đại số</t>
  </si>
  <si>
    <t>Phép trừ hai số nguyên - Quy tắc dấu ngoặc</t>
  </si>
  <si>
    <t>Nhân đa thức</t>
  </si>
  <si>
    <t>Hè: ôn Toán 8</t>
  </si>
  <si>
    <t>Bài 4. Phép nhân đa thức</t>
  </si>
  <si>
    <t>Ôn tập toán 8</t>
  </si>
  <si>
    <t>Luyện luỹ thừa – thứ tự phép tính trong N và Z</t>
  </si>
  <si>
    <t>Luyện tập Phép cộng và phép trừ đa thức</t>
  </si>
  <si>
    <t>Trường hợp cạnh – góc – cạnh và góc – cạnh – góc</t>
  </si>
  <si>
    <t>1,30đ + 0,82đ/đề CK1</t>
  </si>
  <si>
    <t>Bài 14. Trường hợp bằng nhau thứ hai và thứ ba của tam giác</t>
  </si>
  <si>
    <t>Ôn tập Toán 8 (hình)</t>
  </si>
  <si>
    <t>Hinh có tâm đối xứng</t>
  </si>
  <si>
    <t>Luyện chứng minh hình bình hành và hệ quả</t>
  </si>
  <si>
    <t>Ôn tập tứ giác, hình thang cân</t>
  </si>
  <si>
    <t>Tìm x trong tập số nguyên · tính hợp lí</t>
  </si>
  <si>
    <t>Tìm x trong Z 1,25đ/đề CK1</t>
  </si>
  <si>
    <t>Nhận Luyện tập chung chương III</t>
  </si>
  <si>
    <t>Phép nhân hai số nguyên · Phép chia hết - Ước và bội của một số nguyên</t>
  </si>
  <si>
    <t>Phần 1 (90′): Ôn phương trình bậc nhất, giải bài toán bằng cách lập phương trình
Phần 2 (90′): Ôn hàm số bậc nhất</t>
  </si>
  <si>
    <t>Ôn giữa kì I: bài hình tổng hợp · ý cuối bài hình</t>
  </si>
  <si>
    <t>Đề luyện phần hình CK1 (hình phẳng + đối xứng) + chữa</t>
  </si>
  <si>
    <t>HĐ trải nghiệm HK I (tấm thiệp, GeoGebra, máy tính) không xếp ca</t>
  </si>
  <si>
    <t>Phép chia hết - Ước và bội của một số nguyên</t>
  </si>
  <si>
    <t>Chia đa thức cho đơn thức · tính giá trị biểu thức</t>
  </si>
  <si>
    <t>Bài 5. Phép chia đa thức cho đơn thức</t>
  </si>
  <si>
    <t>Phép nhân đa thức</t>
  </si>
  <si>
    <t>Toán thực tế số nguyên (nhiệt độ, độ cao, lãi lỗ) · ôn chương III</t>
  </si>
  <si>
    <t>0,28đ/đề CK1</t>
  </si>
  <si>
    <t>Kiểm tra giữa học kỳ I - lần 1</t>
  </si>
  <si>
    <t>Ôn tập chương 2- Số nguyên</t>
  </si>
  <si>
    <t>Phần 1 (90′): Kiểm tra khảo sát chất lượng tháng 7
Phần 2 (90′): Chữa bài khảo sát, vá kiến thức đại số lớp 8</t>
  </si>
  <si>
    <t>Hình chữ nhật</t>
  </si>
  <si>
    <t>Bài 13. Hình chữ nhật</t>
  </si>
  <si>
    <t>Câu nâng cao CK1: hai số nguyên tố cùng nhau – phân số tối giản · số nguyên, phương trình tích · chia có dư – ƯCLN, BCNN</t>
  </si>
  <si>
    <t>Giữ như tiến độ cũ, thêm phần chữa</t>
  </si>
  <si>
    <t>Kiểm tra Khảo sát chất lượng Tháng 7</t>
  </si>
  <si>
    <t>3 dạng trọng tâm CK1 lớp 6 (4/10, 2/10, 2/10 câu)</t>
  </si>
  <si>
    <t>Lớp 6 đích 10 ở mọi kì → mỗi kì 1 ca câu nâng cao; đề luyện CK1 dồn vào tuần ôn 24</t>
  </si>
  <si>
    <t>Ôn tập chương 3- Tính đối xứng của hình phẳng trong thực tiễn</t>
  </si>
  <si>
    <t>Ôn tam giác đồng dạng, định lí Pythagore (nền cho chương IV)</t>
  </si>
  <si>
    <t>Chữa bài khảo sát đã nằm trong ca Đại</t>
  </si>
  <si>
    <t>Toán thực tế lập biểu thức đa thức · ôn chương I</t>
  </si>
  <si>
    <t>0,69đ/đề GK1</t>
  </si>
  <si>
    <t>Ôn cuối kì I: hệ thống dạng đại số · đề tổng hợp phần đại</t>
  </si>
  <si>
    <t>Nhận Luyện tập chung + Bài tập cuối chương I; lồng HĐTN 'công thức lãi kép'; bỏ ca 'Kiểm tra chương 1'</t>
  </si>
  <si>
    <t>Luyện tập Phép nhân đa thức</t>
  </si>
  <si>
    <t>Ôn tập học kì I</t>
  </si>
  <si>
    <t>Kiểm tra giữa học kỳ I - lần 2</t>
  </si>
  <si>
    <t>Hình thoi · hình vuông</t>
  </si>
  <si>
    <t>Ôn cuối kì I: bài hình tổng hợp · câu khó phần hình</t>
  </si>
  <si>
    <t>Bài 14. Hình thoi và hình vuông</t>
  </si>
  <si>
    <t>Luyện tập hình bình hành</t>
  </si>
  <si>
    <t>Phần 1 (90′): Phương trình bậc nhất hai ẩn · hệ hai phương trình
Phần 2 (90′): Giải hệ bằng phương pháp thế</t>
  </si>
  <si>
    <t>Bài 1. Khái niệm phương trình và hệ hai phương trình bậc nhất hai ẩn</t>
  </si>
  <si>
    <t>Giải hệ 0,86đ/đề GK1</t>
  </si>
  <si>
    <t>Bài 1 nhận biết → gộp với phương pháp thế</t>
  </si>
  <si>
    <t>Phương trình quy về phương trình bậc nhất một ẩn</t>
  </si>
  <si>
    <t>Kiểm tra cuối kì I lần 1 — đề 90′ đủ Đại + Hình, làm tại lớp</t>
  </si>
  <si>
    <t>Tỉ số lượng giác của góc nhọn</t>
  </si>
  <si>
    <t>Hiệu hai bình phương · bình phương của một tổng, một hiệu</t>
  </si>
  <si>
    <t>Bài 11. Tỉ số lượng giác của góc nhọn</t>
  </si>
  <si>
    <t>Ôn tập học kì I · Kiểm tra học kì I lần 1</t>
  </si>
  <si>
    <t>Bài 6. Hiệu hai bình phương. Bình phương của một tổng hay một hiệu</t>
  </si>
  <si>
    <t>Thu thập, phân loại dữ liệu · biểu đồ hình quạt tròn</t>
  </si>
  <si>
    <t>Bài 17. Thu thập và phân loại dữ liệu
Bài 18. Biểu đồ hình quạt tròn</t>
  </si>
  <si>
    <t>Phép chia đa thức cho đơn thức</t>
  </si>
  <si>
    <t>Thống kê 1,60đ/đề CK1 (18/18 đề), toàn bài 2–3 bước = Thông hiểu</t>
  </si>
  <si>
    <t>Đích 9,5: chắc 9đ cơ bản – vận dụng + câu nâng cao đại số trọng tâm</t>
  </si>
  <si>
    <t>Gộp; cũ 4 ca → 2 ca</t>
  </si>
  <si>
    <t>§1. Thu thập, phân loại và biểu diễn dữ liệu</t>
  </si>
  <si>
    <t>Bài hình tứ giác tổng hợp (ý a, b)</t>
  </si>
  <si>
    <t>Các trường hợp bằng nhau của tam giác vuông</t>
  </si>
  <si>
    <t>Chứng minh tứ giác đặc biệt 2,27đ/đề CK1 (23/24 đề)</t>
  </si>
  <si>
    <t>Bài 15. Các trường hợp bằng nhau của tam giác vuông</t>
  </si>
  <si>
    <t>Đích 9,5: chắc NB – TH – VD, bỏ ý cuối bài hình</t>
  </si>
  <si>
    <t>Phần 1 (90′): Giải hệ bằng phương pháp cộng đại số
Phần 2 (90′): Luyện giải hệ: có ngoặc, có phân số, đưa về dạng cơ bản</t>
  </si>
  <si>
    <t>Tổng các góc của một tam giác</t>
  </si>
  <si>
    <t>Bài 2. Giải hệ hai phương trình bậc nhất hai ẩn</t>
  </si>
  <si>
    <t>Kiểm tra cuối kì I lần 2 — đề 90′ đủ Đại + Hình, làm tại lớp</t>
  </si>
  <si>
    <t>Phương trình bậc nhất hai ẩn. Hệ hai phương trình bậc nhất hai ẩn</t>
  </si>
  <si>
    <t>Kiểm tra học kì I lần 2</t>
  </si>
  <si>
    <t>Luyện tỉ số lượng giác: tính, so sánh, biến đổi</t>
  </si>
  <si>
    <t>Lập phương của tổng, hiệu · tổng và hiệu hai lập phương</t>
  </si>
  <si>
    <t>Bài 7. Lập phương của một tổng hay một hiệu
Bài 8. Tổng và hiệu hai lập phương</t>
  </si>
  <si>
    <t>Biểu đồ đoạn thẳng · luyện đọc – vẽ – tính % từ biểu đồ</t>
  </si>
  <si>
    <t>Bài 19. Biểu đồ đoạn thẳng</t>
  </si>
  <si>
    <t>Một số hệ thức về cạnh và góc trong tam giác vuông</t>
  </si>
  <si>
    <t>Cùng khuôn biến đổi → gộp</t>
  </si>
  <si>
    <t>Nhận Luyện tập chung + Bài tập cuối chương V</t>
  </si>
  <si>
    <t>Ôn tập chương 1. Đa thức</t>
  </si>
  <si>
    <t>§2. Biểu đồ hình quạt tròn</t>
  </si>
  <si>
    <t>Tam giác cân · đường trung trực của đoạn thẳng</t>
  </si>
  <si>
    <t>Bài 16. Tam giác cân. Đường trung trực của đoạn thẳng</t>
  </si>
  <si>
    <t>Ý cuối bài hình tứ giác</t>
  </si>
  <si>
    <t>Luyện đề sát ngày thi cuối kì I · chữa bài kiểm tra lần 3 (nhà)</t>
  </si>
  <si>
    <t>Phần 1 (90′): Giải bài toán bằng cách lập hệ: chuyển động, năng suất
Phần 2 (90′): Luyện lập hệ: làm chung – làm riêng</t>
  </si>
  <si>
    <t>Hai tam giác bằng nhau. / Trường hợp bằng nhau thứ nhất của tam giác: cạnh - cạnh - cạnh</t>
  </si>
  <si>
    <t>Bài 3. Giải bài toán bằng cách lập hệ phương trình</t>
  </si>
  <si>
    <t>Lập hệ thực tế 1,85đ/đề — có ở 10/10 đề GK1</t>
  </si>
  <si>
    <t>Kiểm tra học kì I lần 3 ( nhà )</t>
  </si>
  <si>
    <t>Tiến độ cũ KHÔNG có bài này trước GK1</t>
  </si>
  <si>
    <t>Giải hệ hai phương trình bậc nhất hai ẩn</t>
  </si>
  <si>
    <t>Ôn tập hình bình hành, hình chữ nhật</t>
  </si>
  <si>
    <t>Luyện dạng hay mất điểm phần hình sát ngày thi cuối kì I</t>
  </si>
  <si>
    <t>Hệ thức giữa cạnh và góc · giải tam giác vuông</t>
  </si>
  <si>
    <t>Tỉ lệ thức · tính chất dãy tỉ số bằng nhau</t>
  </si>
  <si>
    <t>Bài 12. Một số hệ thức giữa cạnh, góc trong tam giác vuông và ứng dụng</t>
  </si>
  <si>
    <t>Bài 20. Tỉ lệ thức
Bài 21. Tính chất của dãy tỉ số bằng nhau</t>
  </si>
  <si>
    <t>Tính cạnh, góc 1,19đ/đề GK1</t>
  </si>
  <si>
    <t>16/18 đề CK1 KNTT Hà Nội có (0,53đ/đề); dãy tỉ số là dạng câu nâng cao CK1 hay gặp nhất (7/16 câu)</t>
  </si>
  <si>
    <t>Ứng dụng của tỉ số lượng giác của góc nhọn</t>
  </si>
  <si>
    <t>Kéo lên trước CK1 vì đề trường đã hỏi; tiến độ cũ để sang HK II</t>
  </si>
  <si>
    <t>§3. Biểu đồ đoạn thẳng</t>
  </si>
  <si>
    <t>Giữa kì II</t>
  </si>
  <si>
    <t>Luyện 7 hằng đẳng thức: tính nhanh, rút gọn, tính giá trị</t>
  </si>
  <si>
    <t>Bài hình CK1: chứng minh hai tam giác bằng nhau và hệ quả (ý a, b)</t>
  </si>
  <si>
    <t>Tam giác bằng nhau 3,12đ/đề CK1 (18/18 đề)</t>
  </si>
  <si>
    <t>Hằng đẳng thức 1,08đ/đề GK1</t>
  </si>
  <si>
    <t>Trường hợp bằng nhau thứ hai  và ba của tam giác</t>
  </si>
  <si>
    <t>Kiểm tra chương 1. Đa thức</t>
  </si>
  <si>
    <t>Mở rộng phân số · phân số bằng nhau · tính chất cơ bản</t>
  </si>
  <si>
    <t>Bài 23. Mở rộng phân số. Phân số bằng nhau</t>
  </si>
  <si>
    <t>Chương 5. Phân số / Phân số. Tính chất cơ bản của phân số · So sánh phân số</t>
  </si>
  <si>
    <t>Định lí Thalès trong tam giác</t>
  </si>
  <si>
    <t>Luyện tìm x bằng dãy tỉ số · chia một số theo tỉ lệ</t>
  </si>
  <si>
    <t>Bài 15. Định lí Thalès trong tam giác</t>
  </si>
  <si>
    <t>Phần 1 (90′): Lập hệ: phần trăm, mua bán, pha chế dung dịch
Phần 2 (90′): Đề ôn chương I</t>
  </si>
  <si>
    <t>Điểm và đường thẳng · điểm nằm giữa hai điểm · tia</t>
  </si>
  <si>
    <t>Thalès – đường trung bình – phân giác 1,36đ/đề CK1</t>
  </si>
  <si>
    <t>Bài 32. Điểm và đường thẳng
Bài 33. Điểm nằm giữa hai điểm. Tia</t>
  </si>
  <si>
    <t>§4. Ôn tập Chủ đề 4</t>
  </si>
  <si>
    <t>Nhận Luyện tập chung + Bài tập cuối chương I; lồng HĐTN 'pha chế dung dịch'</t>
  </si>
  <si>
    <t>Kiểm tra giữa chương 3</t>
  </si>
  <si>
    <t>Chương VIII thi CK2 nhưng dạy song song như tiến độ cũ; phần nhận biết gộp</t>
  </si>
  <si>
    <t>So sánh phân số</t>
  </si>
  <si>
    <t>Đề luyện phần hình CK1 + chữa (bỏ ý cuối bài hình)</t>
  </si>
  <si>
    <t>Ứng dụng thực tế tỉ số lượng giác (đo đạc)</t>
  </si>
  <si>
    <t>0,94đ/đề GK1 (9/10 đề)</t>
  </si>
  <si>
    <t>Nhận Bài tập cuối chương IV; HĐTN HK I không xếp ca</t>
  </si>
  <si>
    <t>Nhận Luyện tập chung; lồng HĐTN 'tính chiều cao, khoảng cách'</t>
  </si>
  <si>
    <t>Ôn tập chương hệ thức lượng trong tam giác vuông</t>
  </si>
  <si>
    <t>So sánh phân số · hỗn số dương</t>
  </si>
  <si>
    <t>Bài 24. So sánh phân số. Hỗn số dương</t>
  </si>
  <si>
    <t>Nền của câu nâng cao GK2 (so sánh phân số – chặn tổng)</t>
  </si>
  <si>
    <t>Phân tích đa thức thành nhân tử</t>
  </si>
  <si>
    <t>Bài 9. Phân tích đa thức thành nhân tử</t>
  </si>
  <si>
    <t>Các phép tính với phân số</t>
  </si>
  <si>
    <t>HĐT + phân tích nhân tử 2,19đ/đề CK1 (24/24 đề)</t>
  </si>
  <si>
    <t>Đoạn thẳng, độ dài đoạn thẳng · trung điểm của đoạn thẳng</t>
  </si>
  <si>
    <t>Phần 1 (90′): Phương trình tích
Phần 2 (90′): Phương trình chứa ẩn ở mẫu: điều kiện xác định, quy đồng, đối chiếu</t>
  </si>
  <si>
    <t>Đề luyện CK1 phần đại + chữa</t>
  </si>
  <si>
    <t>Chương 2. Hằng đẳng thức đáng nhớ và ứng dụng / Ba hằng đẳng thức bậc hai</t>
  </si>
  <si>
    <t>Bài 4. Phương trình quy về phương trình bậc nhất một ẩn</t>
  </si>
  <si>
    <t>Bài 34. Đoạn thẳng. Độ dài đoạn thẳng
Bài 35. Trung điểm của đoạn thẳng</t>
  </si>
  <si>
    <t>Phương trình quy về bậc nhất 1,40đ/đề GK1 (10/10 đề)</t>
  </si>
  <si>
    <t>Tiến độ cũ không có ca 'Trung điểm'</t>
  </si>
  <si>
    <t>Kiểm tra chương I</t>
  </si>
  <si>
    <t>Đường trung bình của tam giác · tính chất đường phân giác</t>
  </si>
  <si>
    <t>Bài 16. Đường trung bình của tam giác
Bài 17. Tính chất đường phân giác của tam giác</t>
  </si>
  <si>
    <t>Hai bài 1 tiết → gộp</t>
  </si>
  <si>
    <t>Hình thoi- Hình vuông</t>
  </si>
  <si>
    <t>Bài hình tam giác vuông: chứng minh hệ thức (ý a, b)</t>
  </si>
  <si>
    <t>1,78đ/đề GK1 (8/10 đề)</t>
  </si>
  <si>
    <t>Cộng, trừ phân số</t>
  </si>
  <si>
    <t>Bài 25. Phép cộng và phép trừ phân số</t>
  </si>
  <si>
    <t>Tìm x bằng phân tích thành nhân tử</t>
  </si>
  <si>
    <t>Luyện phép tính phân số · tìm x với phân số</t>
  </si>
  <si>
    <t>1,37đ GK1 · 1,06đ/đề CK1</t>
  </si>
  <si>
    <t>Mượn ca Hình; nhận Luyện tập chung chương VI</t>
  </si>
  <si>
    <t>Phần 1 (90′): Bất đẳng thức và tính chất
Phần 2 (90′): So sánh hai số, chứng minh bất đẳng thức đơn giản</t>
  </si>
  <si>
    <t>Chương 7. Những hình học cơ bản / Điểm - Đường thẳng · Hai đường thẳng cắt nhau, hai đường thẳng song song</t>
  </si>
  <si>
    <t>Bài 5. Bất đẳng thức và tính chất</t>
  </si>
  <si>
    <t>Câu nâng cao CK1: dãy tỉ số bằng nhau nâng cao · tìm x nguyên để biểu thức nguyên · GTLN – GTNN (|x|, luỹ thừa chẵn)</t>
  </si>
  <si>
    <t>Bốn hằng đẳng thức bậc ba</t>
  </si>
  <si>
    <t>Nền cho câu nâng cao cuối đề</t>
  </si>
  <si>
    <t>3 dạng trọng tâm CK1 lớp 7 (7/16, 4/16, 3/16 câu)</t>
  </si>
  <si>
    <t>Bất đẳng thức</t>
  </si>
  <si>
    <t>Đích 9,5: học câu nâng cao đại số, bỏ ý cuối bài hình → mượn ca Hình</t>
  </si>
  <si>
    <t>Tam giác cân. Đường trung trực của một đoạn thẳng</t>
  </si>
  <si>
    <t>Thalès thực tế: đo khoảng cách, chiều cao</t>
  </si>
  <si>
    <t>Nhận Luyện tập chung + Bài tập cuối chương IV; lồng HĐTN đo chiều cao, khoảng cách</t>
  </si>
  <si>
    <t>Nhân, chia phân số · tính hợp lí</t>
  </si>
  <si>
    <t>Ý cuối bài hình GK1</t>
  </si>
  <si>
    <t>Bài 26. Phép nhân và phép chia phân số</t>
  </si>
  <si>
    <t>Phần hình GK1: 11 câu mức VDC trong 10 đề</t>
  </si>
  <si>
    <t>Chương 6. Số thập phân / Số thập phân</t>
  </si>
  <si>
    <t>Đường tròn. Vị trí tương đối của hai đường tròn</t>
  </si>
  <si>
    <t>Làm tròn và ước lượng · tỉ số và tỉ số phần trăm</t>
  </si>
  <si>
    <t>Bài 30. Làm tròn và ước lượng
Bài 31. Một số bài toán về tỉ số và tỉ số phần trăm</t>
  </si>
  <si>
    <t>Câu nâng cao GK1: GTLN – GTNN · HĐT tính giá trị · chứng minh luôn dương</t>
  </si>
  <si>
    <t>3 dạng trọng tâm GK1 lớp 8 (GTLN – GTNN 6/14, HĐT tính giá trị 5/14, chứng minh luôn dương 2/14 câu)</t>
  </si>
  <si>
    <t>Phân tích đa thức thành nhân tử · Phân tích đa thức thành nhân tử (tiếp)</t>
  </si>
  <si>
    <t>Ôn cuối kì I: bài hình tổng hợp (ý a, b) — bỏ ý cuối bài hình</t>
  </si>
  <si>
    <t>Phần 1 (90′): Bất phương trình bậc nhất một ẩn
Phần 2 (90′): Luyện BPT có ngoặc, có phân số — bẫy đổi chiều khi nhân, chia số âm</t>
  </si>
  <si>
    <t>Bài 6. Bất phương trình bậc nhất một ẩn</t>
  </si>
  <si>
    <t>Ôn tập chủ đề 3</t>
  </si>
  <si>
    <t>Giải BPT 0,86đ/đề GK1 (9/10 đề)</t>
  </si>
  <si>
    <t>Bất phương trình bậc nhất một ẩn</t>
  </si>
  <si>
    <t>Hai bài toán về phân số (giá trị phân số của một số và ngược lại)</t>
  </si>
  <si>
    <t>Bài 27. Hai bài toán về phân số</t>
  </si>
  <si>
    <t>Luyện phân tích nhân tử – tìm x mức vận dụng</t>
  </si>
  <si>
    <t>1,37đ + 0,67đ/đề GK1</t>
  </si>
  <si>
    <t>Tiến độ cũ không có ca cho bài này; lồng HĐTN 'kế hoạch chi tiêu'</t>
  </si>
  <si>
    <t>Các phép tính với số thập phân</t>
  </si>
  <si>
    <t>Luyện tập hình thoi, hình vuông</t>
  </si>
  <si>
    <t>Toán thực tế phần trăm · hai bài toán phân số</t>
  </si>
  <si>
    <t>Nhận Bài tập cuối chương IV</t>
  </si>
  <si>
    <t>Mượn ca Hình; nhận Luyện tập chung chương VII</t>
  </si>
  <si>
    <t>Ôn tập học kỳ I</t>
  </si>
  <si>
    <t>Ôn tập giữa kì</t>
  </si>
  <si>
    <t>Phần 1 (90′): Toán thực tế lập phương trình / bất phương trình (nhiều nhất, ít nhất)
Phần 2 (90′): Đề ôn chương II</t>
  </si>
  <si>
    <t>Số thập phân · tính toán với số thập phân</t>
  </si>
  <si>
    <t>Bài 28. Số thập phân
Bài 29. Tính toán với số thập phân</t>
  </si>
  <si>
    <t>1,31đ/đề GK1</t>
  </si>
  <si>
    <t>Nhận Luyện tập chung + Bài tập cuối chương II; tiến độ cũ không có</t>
  </si>
  <si>
    <t>Số thập phân là ôn lại Toán 5 → gộp</t>
  </si>
  <si>
    <t>Đề luyện phần hình (tứ giác, Thalès) + chữa</t>
  </si>
  <si>
    <t>Ôn tập chương 3. Tứ giác</t>
  </si>
  <si>
    <t>Mở đầu về đường tròn · cung và dây</t>
  </si>
  <si>
    <t>Góc · số đo góc</t>
  </si>
  <si>
    <t>Bài 13. Mở đầu về đường tròn
Bài 14. Cung và dây của một đường tròn</t>
  </si>
  <si>
    <t>Bài 36. Góc
Bài 37. Số đo góc</t>
  </si>
  <si>
    <t>Kiểm tra học kỳ I - lần 1 · Kiểm tra học kỳ I - lần 2</t>
  </si>
  <si>
    <t>Phần nhận biết → gộp</t>
  </si>
  <si>
    <t>Tiến độ cũ không có ca 'Số đo góc'</t>
  </si>
  <si>
    <t>Vị trí tương đối của đường thẳng và đường tròn</t>
  </si>
  <si>
    <t>Kiểm Tra giữa kì I - Lần 1</t>
  </si>
  <si>
    <t>Phần 1 (90′): Câu nâng cao GK1: bài thực tế tối ưu
Phần 2 (90′): Câu nâng cao GK1: Cô-si · phương trình vô tỉ – bậc cao</t>
  </si>
  <si>
    <t>NGHỈ TẾT NGUYÊN ĐÁN</t>
  </si>
  <si>
    <t>3 dạng trọng tâm GK1 lớp 9 (thực tế tối ưu 9/17, Cô-si 4/17, phương trình vô tỉ 2/17 câu)</t>
  </si>
  <si>
    <t>Đích 10; ca 180′ đủ hai phần cho 3 dạng (tiến độ cũ không có)</t>
  </si>
  <si>
    <t>Ôn tập chương bất đẳng thức và bất phương trình</t>
  </si>
  <si>
    <t>Nghỉ</t>
  </si>
  <si>
    <t>Ôn tập GK1 · Kiểm tra giữa học kì I Iần 1</t>
  </si>
  <si>
    <t>Tết Đinh Mùi: mùng 1 là 06/02/2027</t>
  </si>
  <si>
    <t>Kiểm tra học kỳ I - lần 3 (nhà) · §1. Tỉ lệ thức</t>
  </si>
  <si>
    <t>Độ dài cung tròn · diện tích hình quạt tròn, hình vành khuyên</t>
  </si>
  <si>
    <t>Bài 15. Độ dài của cung tròn. Diện tích hình quạt tròn và hình vành khuyên</t>
  </si>
  <si>
    <t>0,42đ/đề CK1</t>
  </si>
  <si>
    <t>Tiếp tuyến của đường tròn</t>
  </si>
  <si>
    <t>Kiểm tra học kỳ I - lần 3 (nhà) · Quan hệ giữa góc và cạnh đối diện trong tam giác</t>
  </si>
  <si>
    <t>Ôn giữa kì II: đề tổng hợp phân số – số thập phân – phần trăm</t>
  </si>
  <si>
    <t>Kiểm Tra giữa kì I - Lần 2</t>
  </si>
  <si>
    <t>Ước lượng và làm tròn số thập phân</t>
  </si>
  <si>
    <t>Phần 1 (90′): Đề luyện GK1 phần đại
Phần 2 (90′): Chữa đề theo lỗi sai · luyện lại dạng mất điểm</t>
  </si>
  <si>
    <t>Câu nâng cao GK2: so sánh phân số – chặn tổng · tổng dãy phân số khử liên tiếp · tìm n để phân số nguyên</t>
  </si>
  <si>
    <t>Ôn tập giữa học kì 1</t>
  </si>
  <si>
    <t>Đại lượng tỉ lệ thuận</t>
  </si>
  <si>
    <t>Bài 22. Đại lượng tỉ lệ thuận</t>
  </si>
  <si>
    <t>3 dạng trọng tâm GK2 lớp 6 (4/14, 3/14, 2/14 câu); toán logic 3/14 câu trùng GK1 → ôn lại</t>
  </si>
  <si>
    <t>Kiểm tra giữa học kì I lần 2</t>
  </si>
  <si>
    <t>Đề GK2 lớp 6 hỏi chương VI, VII nên ca Hình tuần ôn dành cho câu nâng cao</t>
  </si>
  <si>
    <t>Tia</t>
  </si>
  <si>
    <t>§2. Dãy tỉ số bằng nhau</t>
  </si>
  <si>
    <t>Vị trí tương đối của đường thẳng và đường tròn · tiếp tuyến</t>
  </si>
  <si>
    <t>Bài 16. Vị trí tương đối của đường thẳng và đường tròn</t>
  </si>
  <si>
    <t>Quan hệ góc và cạnh đối diện · đường vuông góc và đường xiên</t>
  </si>
  <si>
    <t>Bài 31. Quan hệ giữa góc và cạnh đối diện trong một tam giác
Bài 32. Quan hệ giữa đường vuông góc và đường xiên</t>
  </si>
  <si>
    <t>Gộp hai bài 1–2 tiết</t>
  </si>
  <si>
    <t>Kiểm tra giữa kì II lần 1 — đề 90′ đủ Đại + Hình, làm tại lớp</t>
  </si>
  <si>
    <t>Quan hệ giữa đường vuông góc và đường xiên.</t>
  </si>
  <si>
    <t>Chương 5. Dữ liệu và biểu đồ / Thu thập và phân loại dữ liệu.</t>
  </si>
  <si>
    <t>Tỉ số phần trăm · Kiểm tra giữa kì II lần 1</t>
  </si>
  <si>
    <t>Phần 1 (90′): Căn bậc hai và căn thức bậc hai
Phần 2 (90′): Khai căn bậc hai với phép nhân, phép chia</t>
  </si>
  <si>
    <t>Bài 7. Căn bậc hai và căn thức bậc hai
Bài 8. Khai căn bậc hai với phép nhân và phép chia</t>
  </si>
  <si>
    <t>Chương III thi CK1 — ca 180′ cho phép học sớm trước GK1</t>
  </si>
  <si>
    <t>Đại lượng tỉ lệ nghịch</t>
  </si>
  <si>
    <t>Kiểm tra giữa kì II lần 1</t>
  </si>
  <si>
    <t>Bài 23. Đại lượng tỉ lệ nghịch</t>
  </si>
  <si>
    <t>Chương IV. Định lí Thalès / Định lí Thalès trong tam giác</t>
  </si>
  <si>
    <t>Cũ gộp tỉ lệ thuận + nghịch vào 1 ca — bài Vận dụng nên tách</t>
  </si>
  <si>
    <t>§3. Đại lượng tỉ lệ thuận / §4. Đại lượng tỉ lệ nghịch</t>
  </si>
  <si>
    <t>Luyện chứng minh tiếp tuyến · hai tiếp tuyến cắt nhau</t>
  </si>
  <si>
    <t>Góc ở tâm. Góc nội tiếp</t>
  </si>
  <si>
    <t>Quan hệ giữa ba cạnh của tam giác (bất đẳng thức tam giác)</t>
  </si>
  <si>
    <t>Bài 33. Quan hệ giữa ba cạnh của một tam giác</t>
  </si>
  <si>
    <t>Kiểm tra giữa kì II lần 2 — đề 90′ đủ Đại + Hình, làm tại lớp</t>
  </si>
  <si>
    <t>Thu thập, phân loại dữ liệu · biểu diễn bằng bảng, biểu đồ</t>
  </si>
  <si>
    <t>Quan hệ ba cạnh trong một tam giác</t>
  </si>
  <si>
    <t>Kiểm tra giữa kì II lần 2 · Chương IV - Một số yếu tố thống kê và xác suất / Thu thập và phân loại dữ liệu</t>
  </si>
  <si>
    <t>Bài 18. Thu thập và phân loại dữ liệu
Bài 19. Biểu diễn dữ liệu bằng bảng, biểu đồ</t>
  </si>
  <si>
    <t>Dữ liệu – biểu đồ 0,91đ/đề CK1 (21/24 đề)</t>
  </si>
  <si>
    <t>Biểu diễn dữ liệu bằng bảng, biểu đồ</t>
  </si>
  <si>
    <t>Phần 1 (90′): Biến đổi đơn giản và rút gọn biểu thức chứa căn
Phần 2 (90′): Căn bậc ba · luyện rút gọn cơ bản</t>
  </si>
  <si>
    <t>Bài 9. Biến đổi đơn giản và rút gọn biểu thức chứa căn thức bậc hai
Bài 10. Căn bậc ba và căn thức bậc ba</t>
  </si>
  <si>
    <t>Kiểm tra giữa kì II lần 2</t>
  </si>
  <si>
    <t>Rút gọn căn 1,73đ/đề CK1</t>
  </si>
  <si>
    <t>Luyện toán thực tế tỉ lệ thuận – nghịch · ôn chương VI</t>
  </si>
  <si>
    <t>Căn bậc ba 1 tiết → gộp</t>
  </si>
  <si>
    <t>Luyện lại bài hình tứ giác CK1 (ý a, b)</t>
  </si>
  <si>
    <t>2,27đ/đề CK1</t>
  </si>
  <si>
    <t>Nhận Luyện tập chung + Bài tập cuối chương VI</t>
  </si>
  <si>
    <t>Ôn tập chủ đề 3 · Kiểm tra chủ đề 3</t>
  </si>
  <si>
    <t>Vị trí tương đối của hai đường tròn</t>
  </si>
  <si>
    <t>Bài 17. Vị trí tương đối của hai đường tròn</t>
  </si>
  <si>
    <t>Cuối kì II</t>
  </si>
  <si>
    <t>Sự đồng quy của ba đường trung tuyến, ba đường phân giác</t>
  </si>
  <si>
    <t>Bài 34. Sự đồng quy của ba đường trung tuyến, ba đường phân giác trong một tam giác</t>
  </si>
  <si>
    <t>Chủ yếu nhận biết – thông hiểu</t>
  </si>
  <si>
    <t>Vị trí tương đối của đường thẳng và đường tròn · Ôn tập GK1</t>
  </si>
  <si>
    <t>Dữ liệu · bảng thống kê · biểu đồ tranh, biểu đồ cột, cột kép</t>
  </si>
  <si>
    <t>Sự đồng quy của ba đường trung tuyến, ba đường phân giác trong một tam giác</t>
  </si>
  <si>
    <t>Bài 38. Dữ liệu và thu thập dữ liệu
Bài 39. Bảng thống kê và biểu đồ tranh
Bài 40. Biểu đồ cột
Bài 41. Biểu đồ cột kép</t>
  </si>
  <si>
    <t>Phân tích số liệu dựa vào biểu đồ · bài thống kê trong đề</t>
  </si>
  <si>
    <t>Đọc – vẽ biểu đồ 2–3 bước = Thông hiểu → 4 bài gộp 1 ca (cũ 2 ca + ôn)</t>
  </si>
  <si>
    <t>Bài 20. Phân tích số liệu thống kê dựa vào biểu đồ</t>
  </si>
  <si>
    <t>Biểu đồ cột - Biểu đồ cột kép</t>
  </si>
  <si>
    <t>Phân tích số liệu thống kê dựa vào biểu đồ</t>
  </si>
  <si>
    <t>Luyện đoạn thẳng – trung điểm: tính độ dài, chứng minh trung điểm</t>
  </si>
  <si>
    <t>Phần 1 (90′): Hệ thống dạng đại số giữa kì I
Phần 2 (90′): Đề tổng hợp phần đại giữa kì I + chữa</t>
  </si>
  <si>
    <t>Biểu thức đại số · đa thức một biến, nghiệm của đa thức</t>
  </si>
  <si>
    <t>Bài 24. Biểu thức đại số
Bài 25. Đa thức một biến</t>
  </si>
  <si>
    <t>Luyện Thalès – đường trung bình trong bài hình tổng hợp</t>
  </si>
  <si>
    <t>Kiểm tra GK1 lần 1</t>
  </si>
  <si>
    <t>Bài 24 nhận biết → gộp</t>
  </si>
  <si>
    <t>1,36đ/đề CK1</t>
  </si>
  <si>
    <t>§1. Biểu thức số. Biểu thức đại số / §2. Đa thức một biến. Nghiệm của đa thức một biến</t>
  </si>
  <si>
    <t>Đường trung bình của tam giác</t>
  </si>
  <si>
    <t>Sự đồng quy của ba đường trung trực, ba đường cao</t>
  </si>
  <si>
    <t>Bài 35. Sự đồng quy của ba đường trung trực, ba đường cao trong một tam giác</t>
  </si>
  <si>
    <t>Sự đồng quy của ba đường trung tuyến, ba đường phân giác trong một tam giác (tiếp)</t>
  </si>
  <si>
    <t>Luyện đại số CK1 tổng hợp: đa thức – HĐT – phân tích nhân tử – tìm x</t>
  </si>
  <si>
    <t>Kết quả có thể và sự kiện · xác suất thực nghiệm</t>
  </si>
  <si>
    <t>Ôn tập chương 5: Dữ liệu và biểu đồ</t>
  </si>
  <si>
    <t>Bài 42. Kết quả có thể và sự kiện trong trò chơi, thí nghiệm
Bài 43. Xác suất thực nghiệm</t>
  </si>
  <si>
    <t>Phần 1 (90′): Kiểm tra giữa kì I lần 1 — đề 90′ đủ Đại + Hình, làm tại lớp
Phần 2 (90′): Chữa phần đại theo lỗi sai · luyện lại dạng mất điểm</t>
  </si>
  <si>
    <t>Gộp (cũ 2 ca)</t>
  </si>
  <si>
    <t>Cộng, trừ đa thức một biến</t>
  </si>
  <si>
    <t>Xác suất của một số trò chơi đơn giản</t>
  </si>
  <si>
    <t>Bài 26. Phép cộng và phép trừ đa thức một biến</t>
  </si>
  <si>
    <t>Kiểm tra GK1 lần 2</t>
  </si>
  <si>
    <t>Câu nâng cao CK1: toán thực tế tối ưu doanh thu, chi phí · ôn lại GTLN – GTNN, HĐT tính giá trị (trùng GK1)</t>
  </si>
  <si>
    <t>§3. Phép cộng, phép trừ đa thức một biến · Nghỉ tết Nguyên Đán</t>
  </si>
  <si>
    <t>CK1 lớp 8: dạng mới là tối ưu thực tế (2/11 câu); HĐT tính giá trị 6/11 câu trùng GK1</t>
  </si>
  <si>
    <t>Luyện góc: đo, vẽ, so sánh, tính góc</t>
  </si>
  <si>
    <t>Đích 9,5: bỏ ý cuối bài hình → mượn ca Hình cho câu nâng cao đại số</t>
  </si>
  <si>
    <t>Tính chất đường phân giác của tam giác</t>
  </si>
  <si>
    <t>Nhận Luyện tập chung chương VIII</t>
  </si>
  <si>
    <t>Chia đa thức một biến</t>
  </si>
  <si>
    <t>Góc</t>
  </si>
  <si>
    <t>Chữa phần hình của đề kiểm tra lần 1 · luyện lại dạng hình mất điểm</t>
  </si>
  <si>
    <t>Bài 28. Phép chia đa thức một biến</t>
  </si>
  <si>
    <t>Mượn ca Hình; cũ gộp nhân + chia (5 tiết) vào 1 ca → tách</t>
  </si>
  <si>
    <t>Sự đồng quy của ba đường trung trực, ba đường cao trong một tam giác · Nghỉ tết Nguyên Đán</t>
  </si>
  <si>
    <t>Phân thức đại số · tính chất cơ bản (rút gọn, quy đồng)</t>
  </si>
  <si>
    <t>Bài 21. Phân thức đại số
Bài 22. Tính chất cơ bản của phân thức đại số</t>
  </si>
  <si>
    <t>Luyện số học HK II: phân số – số thập phân – phần trăm mức vận dụng</t>
  </si>
  <si>
    <t>Bắt đầu sớm chương VI để HK II kịp dạy chương VII trước GK2</t>
  </si>
  <si>
    <t>Nhận Bài tập cuối chương VI, VII, IX</t>
  </si>
  <si>
    <t>Ôn tập HKI</t>
  </si>
  <si>
    <t>Nhân đa thức một biến</t>
  </si>
  <si>
    <t>Bài 27. Phép nhân đa thức một biến</t>
  </si>
  <si>
    <t>Phần 1 (90′): Kiểm tra giữa kì I lần 2 — đề 90′ đủ Đại + Hình, làm tại lớp
Phần 2 (90′): Chữa phần đại theo lỗi sai · luyện lại dạng mất điểm</t>
  </si>
  <si>
    <t>Bài hình tổng hợp chương VIII · câu khó phần hình</t>
  </si>
  <si>
    <t>Đề luyện CK1 phần hình + chữa</t>
  </si>
  <si>
    <t>Lớp 6 chỉ câu cuối đề là VDC; nhận Bài tập cuối chương VIII</t>
  </si>
  <si>
    <t>HĐTN HK I (GeoGebra, khí hậu) không xếp ca</t>
  </si>
  <si>
    <t>Ôn tập chương Định lý Thales</t>
  </si>
  <si>
    <t>Bài hình GK2 chương IX (ý a, b)</t>
  </si>
  <si>
    <t>Chữa phần hình của đề kiểm tra lần 2 · luyện lại dạng hình mất điểm</t>
  </si>
  <si>
    <t>Nhận Luyện tập chung chương IX</t>
  </si>
  <si>
    <t>Kiểm tra GK1 lần 3 · Kiểm tra GK1 lần 4</t>
  </si>
  <si>
    <t>Câu nâng cao CK2: tổng dãy phân số khử liên tiếp · so sánh phân số – chặn tổng (trùng GK2 — ôn lại)</t>
  </si>
  <si>
    <t>Cộng, trừ phân thức đại số</t>
  </si>
  <si>
    <t>Bài 23. Phép cộng và phép trừ phân thức đại số</t>
  </si>
  <si>
    <t>CK2 lớp 6 không có dạng mới: 2 dạng hay gặp đều trùng GK2 (4/6, 2/6 câu)</t>
  </si>
  <si>
    <t>Đích 10 → vẫn có ca; đề luyện CK2 phần đại dồn vào tuần ôn 42</t>
  </si>
  <si>
    <t>Xác suất thực nghiệm · Kiểm tra chuyên đề - Những hình học cơ bản</t>
  </si>
  <si>
    <t>Phần 1 (90′): Luyện rút gọn biểu thức A, B, P theo đề thi
Phần 2 (90′): Tính giá trị P tại x cho trước</t>
  </si>
  <si>
    <t>Đề luyện CK2 phần hình + chữa</t>
  </si>
  <si>
    <t>Hai tam giác đồng dạng</t>
  </si>
  <si>
    <t>Bài 33. Hai tam giác đồng dạng</t>
  </si>
  <si>
    <t>Ôn giữa kì II: đề tổng hợp Đại + Hình</t>
  </si>
  <si>
    <t>Đồng dạng 1,48đ GK2 · 3,07đ CK2 (ma trận 4 kì)</t>
  </si>
  <si>
    <t>Dạy sớm chương IX để HK II không dồn</t>
  </si>
  <si>
    <t>Căn bậc hai. Căn thức bậc hai. / Căn bậc ba</t>
  </si>
  <si>
    <t>Ôn tập HK1</t>
  </si>
  <si>
    <t>Ôn tập giữa học kỳ II</t>
  </si>
  <si>
    <t>HĐ trải nghiệm HK II không xếp ca</t>
  </si>
  <si>
    <t>Kiểm tra chuyên đề - Những hình học cơ bản</t>
  </si>
  <si>
    <t>Bài hình đường tròn: tiếp tuyến, bốn điểm cùng thuộc đường tròn (ý a, b)</t>
  </si>
  <si>
    <t>Câu nâng cao GK2: dãy tỉ số bằng nhau nâng cao (trùng CK1) · toán thực tế tỉ lệ, phần trăm (trùng GK1) — ôn lại</t>
  </si>
  <si>
    <t>Bài hình đường tròn 2,85đ/đề — 30/30 đề CK1</t>
  </si>
  <si>
    <t>GK2 lớp 7: dạng mới duy nhất là xác suất (2/5 câu) — thuộc chương VIII, dạy sau GK2 theo SGV</t>
  </si>
  <si>
    <t>Mượn ca Hình tuần ôn; bài hình GK2 đã luyện ở tuần 33</t>
  </si>
  <si>
    <t>Kiểm tra giữa học kỳ II - lần 1</t>
  </si>
  <si>
    <t>Ôn cuối kì II: hệ thống dạng đại số · đề tổng hợp phần đại</t>
  </si>
  <si>
    <t>Ôn tập · Ôn tập học kì II</t>
  </si>
  <si>
    <t>Phần 1 (90′): Câu hỏi phụ: P = k, P &gt; k, so sánh P với một số
Phần 2 (90′): Câu hỏi phụ: x nguyên để P nguyên · GTLN – GTNN</t>
  </si>
  <si>
    <t>0,50đ/đề CK1 (27/30 đề)</t>
  </si>
  <si>
    <t>Nhận Bài tập cuối chương III; dùng phiếu 5 dạng câu c đã soạn</t>
  </si>
  <si>
    <t>Ôn cuối kì II: bài hình tổng hợp · câu khó phần hình</t>
  </si>
  <si>
    <t>Liên hệ giữa phép nhân và phép chia với phép khai phương</t>
  </si>
  <si>
    <t>Kiểm tra giữa học kỳ II - lần 1 · Kiểm tra giữa học kỳ II - lần 2</t>
  </si>
  <si>
    <t>Luyện bài hình đường tròn: song song, vuông góc, hệ thức</t>
  </si>
  <si>
    <t>Kiểm tra giữa học kỳ II - lần 2</t>
  </si>
  <si>
    <t>Độ dài cung tròn, diện tích hình quạt tròn, diện tích hình vành khuyên</t>
  </si>
  <si>
    <t>Kiểm tra cuối kì II lần 1 — đề 90′ đủ Đại + Hình, làm tại lớp</t>
  </si>
  <si>
    <t>KT học kì lần 1</t>
  </si>
  <si>
    <t>Kiểm tra học kì II lần 1 · Kiểm tra học kì II lần 2 ( nhà )</t>
  </si>
  <si>
    <t>Phần 1 (90′): Luyện lập phương trình / hệ thực tế dạng CK1
Phần 2 (90′): Phương trình chứa ẩn ở mẫu · bất phương trình tổng hợp</t>
  </si>
  <si>
    <t>KT học kì 1 lần 1</t>
  </si>
  <si>
    <t>1,84đ + 0,47đ + 0,38đ/đề CK1</t>
  </si>
  <si>
    <t>Ôn tập chủ đề 6</t>
  </si>
  <si>
    <t>Biến đổi đơn giản biểu thức chứa căn thức bậc hai</t>
  </si>
  <si>
    <t>Bài hình đường tròn theo đề các trường (ý a, b) — luyện tốc độ trình bày</t>
  </si>
  <si>
    <t>Sự đồng quy của ba đường trung trực, ba đường cao trong một tam giác (tiếp)</t>
  </si>
  <si>
    <t>Ca Đại 180′ đủ giờ nên ca này trả về Hình; bỏ ý cuối bài hình</t>
  </si>
  <si>
    <t>Kiểm tra cuối kì II lần 2 — đề 90′ đủ Đại + Hình, làm tại lớp</t>
  </si>
  <si>
    <t>Kiểm tra học kì II lần 3</t>
  </si>
  <si>
    <t>KT học kì lần 2</t>
  </si>
  <si>
    <t>Làm quen với biến cố · xác suất của biến cố</t>
  </si>
  <si>
    <t>Bài 29. Làm quen với biến cố
Bài 30. Làm quen với xác suất của biến cố</t>
  </si>
  <si>
    <t>Phần 1 (90′): Câu nâng cao CK1: chứng minh bất đẳng thức · biến đổi căn thức đặc biệt
Phần 2 (90′): Câu nâng cao CK1: lập phương trình / hệ bài toán tối ưu</t>
  </si>
  <si>
    <t>Xác suất là dạng câu nâng cao mới của GK2 (2/5 câu) → thêm 1 bài nâng cao trong ca</t>
  </si>
  <si>
    <t>3 dạng trọng tâm CK1 lớp 9 (3/9, 2/9, 2/9 câu)</t>
  </si>
  <si>
    <t>KT học kì 2 lần 2</t>
  </si>
  <si>
    <t>Đếm kết quả thuận lợi rồi lập tỉ số = Thông hiểu → gộp cả chương VIII (cũ 3 ca: bài + ôn + KT)</t>
  </si>
  <si>
    <t>Đích 9,5: học câu nâng cao đại số, bỏ ý cuối bài hình</t>
  </si>
  <si>
    <t>Kiểm tra chủ đề 6</t>
  </si>
  <si>
    <t>Rút gọn biểu thức chứa căn thức bậc hai</t>
  </si>
  <si>
    <t>Luyện độ dài cung – diện tích quạt thực tế · tỉ số lượng giác thực tế</t>
  </si>
  <si>
    <t>Hình hộp chữ nhật, hình lập phương · hình lăng trụ đứng tam giác, tứ giác</t>
  </si>
  <si>
    <t>Luyện đề sát ngày thi cuối kì II · chữa bài kiểm tra lần 3 (nhà)</t>
  </si>
  <si>
    <t>0,42đ + 0,42đ/đề CK1</t>
  </si>
  <si>
    <t>Bài 36. Hình hộp chữ nhật và hình lập phương
Bài 37. Hình lăng trụ đứng tam giác và hình lăng trụ đứng tứ giác</t>
  </si>
  <si>
    <t>Nhận Bài tập cuối chương V</t>
  </si>
  <si>
    <t>Ôn tập chương đường tròn</t>
  </si>
  <si>
    <t>Thay số vào công thức diện tích xung quanh, thể tích = Thông hiểu → gộp cả chương X (cũ 3 ca)</t>
  </si>
  <si>
    <t>Ôn tập chủ đề 4 · Kiểm tra chủ đề 4</t>
  </si>
  <si>
    <t>Luyện dạng hay mất điểm phần hình sát ngày thi cuối kì II</t>
  </si>
  <si>
    <t>KT học kì lần 3 (nhà)</t>
  </si>
  <si>
    <t>46+</t>
  </si>
  <si>
    <t>Luyện đa thức: nghiệm, tính giá trị, bài thực tế đa thức</t>
  </si>
  <si>
    <t>Đa thức – nghiệm là dạng câu nâng cao trọng tâm CK2 (5/7 câu)</t>
  </si>
  <si>
    <t>Nhận Luyện tập chung + Bài tập cuối chương VII</t>
  </si>
  <si>
    <t>Làm quen với biến cố, xác suất biến cố</t>
  </si>
  <si>
    <t>Phần 1 (90′): Đề luyện CK1 phần đại
Phần 2 (90′): Chữa đề · luyện lại dạng mất điểm</t>
  </si>
  <si>
    <t>Sau kiểm tra cuối năm: GV chọn hoạt động (ôn kiến thức, học phương pháp, trò chơi tư duy) — như tiến độ cũ</t>
  </si>
  <si>
    <t>Tự chọn</t>
  </si>
  <si>
    <t>Tuần 46 đến hết tháng 5</t>
  </si>
  <si>
    <t>Bài hình CK2: tam giác cân, các đường đồng quy (ý a, b)</t>
  </si>
  <si>
    <t>Luyện tập rút gọn biểu thức chứa căn và các câu hỏi phụ</t>
  </si>
  <si>
    <t>§1. Hình hộp chữ nhật, hình lập phương</t>
  </si>
  <si>
    <t>Đề luyện CK1 phần hình + chữa (bỏ ý cuối bài hình)</t>
  </si>
  <si>
    <t>Nhân, chia phân thức đại số</t>
  </si>
  <si>
    <t>Bài 24. Phép nhân và phép chia phân thức đại số</t>
  </si>
  <si>
    <t>Chương 6. Phân thức đại số / Phân thức đại số. Tính chất cơ bản của phân thức đại số</t>
  </si>
  <si>
    <t>Luyện tỉ lệ thức – đại lượng tỉ lệ · đa thức tổng hợp</t>
  </si>
  <si>
    <t>Ôn tập chủ đề 5 · Kiểm tra chủ đề 4+5</t>
  </si>
  <si>
    <t>Ba trường hợp đồng dạng của hai tam giác</t>
  </si>
  <si>
    <t>Bài 34. Ba trường hợp đồng dạng của hai tam giác</t>
  </si>
  <si>
    <t>Phần 1 (90′): Hệ thống dạng đại số cuối kì I
Phần 2 (90′): Đề tổng hợp phần đại cuối kì I + chữa</t>
  </si>
  <si>
    <t>Câu nâng cao CK2: đa thức một biến – nghiệm · nghiệm nguyên</t>
  </si>
  <si>
    <t>Chương IX. Tam giác đồng dạng / Hai tam giác đồng dạng. / Ba trường hợp đồng dạng của tam giác</t>
  </si>
  <si>
    <t>Ôn tập học kì 1</t>
  </si>
  <si>
    <t>2 dạng trọng tâm CK2 lớp 7 (5/7, 1/7 câu); thực tế % trùng GK1</t>
  </si>
  <si>
    <t>§2. Hình lăng trụ đứng tam giác, tứ giác</t>
  </si>
  <si>
    <t>Biểu thức phân thức tổng hợp: rút gọn, tính giá trị, tìm x để P nguyên</t>
  </si>
  <si>
    <t>Đề luyện CK2 phần đại + chữa</t>
  </si>
  <si>
    <t>Phân thức 1,86đ/đề GK2</t>
  </si>
  <si>
    <t>Nhận Luyện tập chung + Bài tập cuối chương VI; bỏ ca 'Kiểm tra chương 6'</t>
  </si>
  <si>
    <t>Ôn tập tổng hợp các chương đại số</t>
  </si>
  <si>
    <t>Phép cộng và phép trừ phân thức đại số</t>
  </si>
  <si>
    <t>Phần 1 (90′): Kiểm tra cuối kì I lần 1 — đề 90′ đủ Đại + Hình, làm tại lớp
Phần 2 (90′): Chữa phần đại theo lỗi sai · luyện lại dạng mất điểm</t>
  </si>
  <si>
    <t>Đề luyện phần hình CK2 + chữa</t>
  </si>
  <si>
    <t>Luyện chứng minh đồng dạng · lập tỉ số tính cạnh</t>
  </si>
  <si>
    <t>Kiểm tra HK1 lần 1</t>
  </si>
  <si>
    <t>Nhận Bài tập cuối chương IX, X; HĐTN HK II không xếp ca</t>
  </si>
  <si>
    <t>Ba trường hợp đồng dạng của tam giác</t>
  </si>
  <si>
    <t>Kiểm tra  HK1 lần 1</t>
  </si>
  <si>
    <t>Phương trình bậc nhất một ẩn (cả phương trình đưa về bậc nhất)</t>
  </si>
  <si>
    <t>Bài 25. Phương trình bậc nhất một ẩn</t>
  </si>
  <si>
    <t>PT bậc nhất 0,44đ GK2 · 1,61đ/đề CK2</t>
  </si>
  <si>
    <t>Ôn tập học kỳ II</t>
  </si>
  <si>
    <t>Phép nhân và phép chia phân thức đại số</t>
  </si>
  <si>
    <t>Phần 1 (90′): Kiểm tra cuối kì I lần 2 — đề 90′ đủ Đại + Hình, làm tại lớp
Phần 2 (90′): Chữa phần đại theo lỗi sai · luyện lại dạng mất điểm</t>
  </si>
  <si>
    <t>Ôn cuối kì II: bài hình tổng hợp (ý a, b) — bỏ ý cuối bài hình</t>
  </si>
  <si>
    <t>Kiểm tra HK1 lần 2 (nhà) · Kiểm tra HK1 lần 3</t>
  </si>
  <si>
    <t>Định lí Pythagore và ứng dụng</t>
  </si>
  <si>
    <t>Bài 35. Định lí Pythagore và ứng dụng</t>
  </si>
  <si>
    <t>Định lý Pythagore và ứng dụng</t>
  </si>
  <si>
    <t>Kiểm tra  HK1 lần 2</t>
  </si>
  <si>
    <t>Giải bài toán bằng cách lập phương trình (chuyển động, năng suất)</t>
  </si>
  <si>
    <t>Kiểm tra học kỳ II - lần 1 · Kiểm tra học kỳ II - lần 2 (nhà)</t>
  </si>
  <si>
    <t>Bài 26. Giải bài toán bằng cách lập phương trình</t>
  </si>
  <si>
    <t>Lập PT 1,39đ/đề CK2 (27/30 đề)</t>
  </si>
  <si>
    <t>Phần 1 (90′): Đề sát ngày thi cuối kì I
Phần 2 (90′): Chữa bài kiểm tra lần 3 (nhà) · dạng hay mất điểm</t>
  </si>
  <si>
    <t>Ôn tập chương phân thức đại số và các câu hỏi phụ</t>
  </si>
  <si>
    <t>Kiểm tra HK1 lần 4 (nhà)</t>
  </si>
  <si>
    <t>Đồng dạng của tam giác vuông · hình đồng dạng</t>
  </si>
  <si>
    <t>Bài 36. Các trường hợp đồng dạng của hai tam giác vuông
Bài 37. Hình đồng dạng</t>
  </si>
  <si>
    <t>Bài 37 nhận biết → gộp</t>
  </si>
  <si>
    <t>Các trường hợp đồng dạng của tam giác vuông</t>
  </si>
  <si>
    <t>Kiểm tra  HK1 lần 3</t>
  </si>
  <si>
    <t>Kiểm tra học kỳ II - lần 3</t>
  </si>
  <si>
    <t>Khái niệm hàm số, đồ thị · hàm số bậc nhất và đồ thị</t>
  </si>
  <si>
    <t>Bài 27. Khái niệm hàm số và đồ thị của hàm số
Bài 28. Hàm số bậc nhất và đồ thị của hàm số bậc nhất</t>
  </si>
  <si>
    <t>Phần 1 (90′): Hàm số y = ax² (a ≠ 0): bảng giá trị, đồ thị
Phần 2 (90′): Điểm thuộc parabol · tìm hệ số a</t>
  </si>
  <si>
    <t>Bài 18. Hàm số y = ax² (a ≠ 0)</t>
  </si>
  <si>
    <t>Hàm số – đồ thị 0,90đ/đề GK2</t>
  </si>
  <si>
    <t>Mô tả và biểu diễn dữ liệu trên các bảng, biểu đồ · Tần số. Tần số tương đối.</t>
  </si>
  <si>
    <t>Vẽ đồ thị 2–3 bước → gộp</t>
  </si>
  <si>
    <t>Góc nội tiếp · đường tròn ngoại tiếp, nội tiếp tam giác</t>
  </si>
  <si>
    <t>Bài 27. Góc nội tiếp
Bài 28. Đường tròn ngoại tiếp và đường tròn nội tiếp của một tam giác</t>
  </si>
  <si>
    <t>Góc nội tiếp 1 tiết → gộp</t>
  </si>
  <si>
    <t>Lập phương trình: phần trăm, mua bán, hình học</t>
  </si>
  <si>
    <t>Kiểm tra  HK1 lần 4</t>
  </si>
  <si>
    <t>Mượn ca Hình: chương VII phải xong trước GK2 (tiến độ cũ dạy sau KT GK2)</t>
  </si>
  <si>
    <t>Hình đồng dạng · Kiểm tra Chương 9</t>
  </si>
  <si>
    <t>Phần 1 (90′): Phương trình bậc hai một ẩn · công thức nghiệm
Phần 2 (90′): Công thức nghiệm thu gọn · luyện giải phương trình bậc hai</t>
  </si>
  <si>
    <t>Bài 19. Phương trình bậc hai một ẩn</t>
  </si>
  <si>
    <t>Phương trình bậc hai 1,45đ/đề vào 10</t>
  </si>
  <si>
    <t>Tiến độ cũ chỉ 1 ca phương trình bậc hai</t>
  </si>
  <si>
    <t>Tần số ghép nhóm. Tần số tương đối ghép nhóm · Phép thử ngẫu nhiên và không gian mẫu. Xác suất của biến cố</t>
  </si>
  <si>
    <t>Hệ số góc · bài thực tế hàm số bậc nhất</t>
  </si>
  <si>
    <t>Bài 29. Hệ số góc của đường thẳng</t>
  </si>
  <si>
    <t>Tứ giác nội tiếp</t>
  </si>
  <si>
    <t>Bài 29. Tứ giác nội tiếp</t>
  </si>
  <si>
    <t>Nhận Luyện tập chung + Bài tập cuối chương VII; lồng HĐTN 'hàm số bậc nhất trong tài chính'</t>
  </si>
  <si>
    <t>Kiểm tra chương 6</t>
  </si>
  <si>
    <t>Đường tròn ngoại tiếp tam giác. Đường tròn nội tiếp tam giác</t>
  </si>
  <si>
    <t>Bài hình GK2: Thalès + đồng dạng (ý a, b)</t>
  </si>
  <si>
    <t>Thalès 1,82đ + đồng dạng 1,48đ/đề GK2</t>
  </si>
  <si>
    <t>Ôn tập GK2</t>
  </si>
  <si>
    <t>Phần 1 (90′): Định lí Viète · nhẩm nghiệm
Phần 2 (90′): Tính biểu thức đối xứng của hai nghiệm</t>
  </si>
  <si>
    <t>Bài 20. Định lí Viète và ứng dụng</t>
  </si>
  <si>
    <t>Phép thử ngẫu nhiên và không gian mẫu. Xác suất của biến cố</t>
  </si>
  <si>
    <t>Luyện chứng minh tứ giác nội tiếp và hệ quả (ý a, b)</t>
  </si>
  <si>
    <t>Tứ giác nội tiếp đường tròn</t>
  </si>
  <si>
    <t>Phần 1 (90′): Viète có tham số m: điều kiện có nghiệm, hệ thức giữa hai nghiệm
Phần 2 (90′): Giải bài toán bằng cách lập phương trình bậc hai</t>
  </si>
  <si>
    <t>Bài 21. Giải bài toán bằng cách lập phương trình</t>
  </si>
  <si>
    <t>Hàm số y = ax^2 (a khác 0)</t>
  </si>
  <si>
    <t>Ôn tập giữa học kỳ II · NGHỈ TẾT</t>
  </si>
  <si>
    <t>Luyện bài hình tứ giác nội tiếp: góc bằng nhau, hệ thức, tiếp tuyến (ý a, b)</t>
  </si>
  <si>
    <t>Ca Đại 180′ đủ giờ nên ca này trả về Hình</t>
  </si>
  <si>
    <t>Câu nâng cao GK2: đẳng thức, GTLN – GTNN với phân thức (trùng GK1) · bài tối ưu (trùng CK1) — ôn lại</t>
  </si>
  <si>
    <t>GK2 lớp 8: dạng mới là xác suất – Dirichlet (2/5 câu), thuộc chương VIII dạy sau GK2</t>
  </si>
  <si>
    <t>Phần 1 (90′): Bảng tần số, tần số tương đối, ghép nhóm và biểu đồ
Phần 2 (90′): Phép thử, không gian mẫu · xác suất của biến cố</t>
  </si>
  <si>
    <t>Bài 22. Bảng tần số và biểu đồ tần số
Bài 23. Bảng tần số tương đối và biểu đồ tần số tương đối
Bài 24. Bảng tần số, tần số tương đối ghép nhóm và biểu đồ
Bài 25. Phép thử ngẫu nhiên và không gian mẫu
Bài 26. Xác suất của biến cố liên quan tới phép thử</t>
  </si>
  <si>
    <t>Hai chương VII, VIII chỉ 2–3 bước = Thông hiểu → mỗi chương 1 phần (cũ 5 ca); lồng HĐTN Excel</t>
  </si>
  <si>
    <t>Phương trình bậc hai một ẩn</t>
  </si>
  <si>
    <t>KT giữa kỳ 2 - lần 1 · KT giữa kỳ 2 - lần 2</t>
  </si>
  <si>
    <t>Đa giác đều</t>
  </si>
  <si>
    <t>Bài 30. Đa giác đều</t>
  </si>
  <si>
    <t>Nhận biết – thông hiểu</t>
  </si>
  <si>
    <t>Phần 1 (90′): Câu nâng cao GK2: phương trình vô tỉ – bậc cao, Cô-si, thực tế tối ưu (trùng GK1) · chứng minh BĐT (trùng CK1) — ôn lại
Phần 2 (90′): Đề luyện GK2 phần đại + chữa</t>
  </si>
  <si>
    <t>GK2 lớp 9 không có dạng mới: phương trình vô tỉ – bậc cao 3/6 câu</t>
  </si>
  <si>
    <t>Chương 7. Phương trình bậc nhất và hàm số bậc nhất / Phương trình bậc nhất một ẩn · Giải bài toán bằng cách lập phương trình</t>
  </si>
  <si>
    <t>Đề luyện phần hình GK2 + chữa (bỏ ý cuối bài hình)</t>
  </si>
  <si>
    <t>Nhận Bài tập cuối chương IX</t>
  </si>
  <si>
    <t>Đa giác đều. Hình đa giác đều trong thực tiễn</t>
  </si>
  <si>
    <t>Kết quả có thể, thuận lợi · xác suất bằng tỉ số · xác suất thực nghiệm</t>
  </si>
  <si>
    <t>Bài 30. Kết quả có thể và kết quả thuận lợi
Bài 31. Cách tính xác suất của biến cố bằng tỉ số
Bài 32. Mối liên hệ giữa xác suất thực nghiệm với xác suất và ứng dụng</t>
  </si>
  <si>
    <t>Xác suất 0,92đ GK2 · 0,64đ/đề CK2</t>
  </si>
  <si>
    <t>2–3 bước = Thông hiểu → gộp cả chương VIII (cũ 2 ca); thêm 1 bài xác suất – Dirichlet (dạng câu nâng cao GK2); lồng HĐTN Excel</t>
  </si>
  <si>
    <t>Khái niệm hàm số và đồ thị hàm số · Hàm số bậc nhất và đồ thị hàm số bậc nhất. / Hệ số góc của đường thẳng</t>
  </si>
  <si>
    <t>Hình chóp tam giác đều · hình chóp tứ giác đều</t>
  </si>
  <si>
    <t>Bài 38. Hình chóp tam giác đều
Bài 39. Hình chóp tứ giác đều</t>
  </si>
  <si>
    <t>Hình chóp 0,37đ/đề CK2</t>
  </si>
  <si>
    <t>Thay số diện tích xung quanh, thể tích = Thông hiểu → gộp cả chương X (cũ 3 ca)</t>
  </si>
  <si>
    <t>Phần 1 (90′): Hệ thống dạng đại số giữa kì II
Phần 2 (90′): Đề tổng hợp phần đại giữa kì II + chữa</t>
  </si>
  <si>
    <t>Định lí Viet và ứng dụng · NGHỈ TẾT NGUYÊN ĐÁN</t>
  </si>
  <si>
    <t>Ôn giữa kì II: bài hình tổng hợp (ý a, b) — bỏ ý cuối bài hình</t>
  </si>
  <si>
    <t>Luyện giải bài toán bằng cách lập phương trình tổng hợp</t>
  </si>
  <si>
    <t>Ôn tập chương HHKG · NGHỈ TẾT NGUYÊN ĐÁN - / Từ 14/2 - 22/2 · HẾT CHƯƠNG TRÌNH</t>
  </si>
  <si>
    <t>1,39đ/đề CK2</t>
  </si>
  <si>
    <t>Ôn tập hàm số</t>
  </si>
  <si>
    <t>Bài hình đồng dạng CK2 (ý a, b)</t>
  </si>
  <si>
    <t>Đồng dạng 3,07đ/đề CK2 — 30/30 đề</t>
  </si>
  <si>
    <t>Phần 1 (90′): Kiểm tra giữa kì II lần 1 — đề 90′ đủ Đại + Hình, làm tại lớp
Phần 2 (90′): Chữa phần đại theo lỗi sai · luyện lại dạng mất điểm</t>
  </si>
  <si>
    <t>Chương 10. Một số hình khối trong thực tiễn / Hình chóp tam giác đều · Hình chóp tứ giác đều</t>
  </si>
  <si>
    <t>Luyện phân thức · phương trình · hàm số tổng hợp</t>
  </si>
  <si>
    <t>Nhận Bài tập cuối chương VIII</t>
  </si>
  <si>
    <t>Chương 8. Mở đầu về tính xác suất của biến cố / Kết quả có thể và kết quả thuận lợi. Cách tính xác suất bằng tỉ số</t>
  </si>
  <si>
    <t>Câu nâng cao CK2: phương trình bậc nhất dạng nâng cao · chứng minh đẳng thức (trùng GK1) · bài tối ưu (trùng CK1)</t>
  </si>
  <si>
    <t>Phần 1 (90′): Kiểm tra giữa kì II lần 2 — đề 90′ đủ Đại + Hình, làm tại lớp
Phần 2 (90′): Chữa phần đại theo lỗi sai · luyện lại dạng mất điểm</t>
  </si>
  <si>
    <t>CK2 lớp 8: dạng mới 1/4 câu; chứng minh đẳng thức 2/4 câu trùng GK1</t>
  </si>
  <si>
    <t>Đích 9,5: bỏ ý cuối bài hình → mượn ca Hình</t>
  </si>
  <si>
    <t>Giải bài toán bằng cách lập phương trình · HẾT CHƯƠNG TRÌNH</t>
  </si>
  <si>
    <t>Luyện tập hình không gian</t>
  </si>
  <si>
    <t>Kiểm tra giữa học kì II lần 1</t>
  </si>
  <si>
    <t>Mối liên hệ giữa xác suất thực nghiệm với xác suất và ứng dụng. / Luyện tập xác suất</t>
  </si>
  <si>
    <t>Phần 1 (90′): Rút gọn căn · câu hỏi phụ (bài I vào 10)
Phần 2 (90′): Phương trình bậc hai – Viète có tham số</t>
  </si>
  <si>
    <t>Xen thi thử vào 10 theo lịch toàn hệ thống</t>
  </si>
  <si>
    <t>Nhận Bài tập cuối chương IX, X</t>
  </si>
  <si>
    <t>Ôn tập tổng hợp các chương hình học</t>
  </si>
  <si>
    <t>Hình trụ · hình nón · hình cầu</t>
  </si>
  <si>
    <t>Bài 31. Hình trụ và hình nón
Bài 32. Hình cầu</t>
  </si>
  <si>
    <t>Thay số vào công thức = Thông hiểu → gộp cả chương X (cũ 1 ca + ôn)</t>
  </si>
  <si>
    <t>Kiểm tra giữa học kì II lần 2</t>
  </si>
  <si>
    <t>Ôn tập học kì 2</t>
  </si>
  <si>
    <t>Phần 1 (90′): Lập phương trình / hệ tổng hợp (bài II vào 10)
Phần 2 (90′): Bài thực tế thống kê – xác suất trong đề</t>
  </si>
  <si>
    <t>Ôn tập HK2</t>
  </si>
  <si>
    <t>Bài hình vào 10 tổng hợp (ý a, b)</t>
  </si>
  <si>
    <t>Kiểm tra giữa học kì II lần 3</t>
  </si>
  <si>
    <t>KT học kỳ 2 - lần 1</t>
  </si>
  <si>
    <t>Phần 1 (90′): Câu nâng cao CK2 / câu V vào 10: Cô-si, bài thực tế tối ưu, lập phương trình tối ưu — ôn lại
Phần 2 (90′): Hàm số y = ax² · tương giao parabol và đường thẳng</t>
  </si>
  <si>
    <t>CK2 lớp 9 không có dạng mới: Cô-si 6/9 câu (trùng GK1); câu V vào 10 từ 2025 là bài thực tế tối ưu</t>
  </si>
  <si>
    <t>KT học kỳ lần 1</t>
  </si>
  <si>
    <t>Bài hình vào 10: tứ giác nội tiếp + tiếp tuyến (ý a, b) theo đề Sở các năm</t>
  </si>
  <si>
    <t>KT học kỳ 2 - lần 2 (nhà) · KT học kỳ 2 - lần 3</t>
  </si>
  <si>
    <t>Phần 1 (90′): Đề luyện CK2 phần đại
Phần 2 (90′): Chữa đề · luyện lại dạng mất điểm</t>
  </si>
  <si>
    <t>KT học kỳ lần 2 (nhà) · KT học kỳ lần 3</t>
  </si>
  <si>
    <t>Nhận Bài tập cuối chương X; HĐTN HK II không xếp ca</t>
  </si>
  <si>
    <t>Phần 1 (90′): Hệ thống dạng đại số cuối kì II
Phần 2 (90′): Đề tổng hợp phần đại cuối kì II + chữa</t>
  </si>
  <si>
    <t>Kiểm tra cuối học kì II lần 1</t>
  </si>
  <si>
    <t>Phần 1 (90′): Kiểm tra cuối kì II lần 1 — đề 90′ đủ Đại + Hình, làm tại lớp
Phần 2 (90′): Chữa phần đại theo lỗi sai · luyện lại dạng mất điểm</t>
  </si>
  <si>
    <t>Kiểm tra cuối học kì II lần 2</t>
  </si>
  <si>
    <t>Phần 1 (90′): Kiểm tra cuối kì II lần 2 — đề 90′ đủ Đại + Hình, làm tại lớp
Phần 2 (90′): Chữa phần đại theo lỗi sai · luyện lại dạng mất điểm</t>
  </si>
  <si>
    <t>Kiểm tra cuối học kì II lần 3</t>
  </si>
  <si>
    <t>Phần 1 (90′): Đề sát ngày thi cuối kì II
Phần 2 (90′): Chữa bài kiểm tra lần 3 (nhà) · dạng hay mất điểm</t>
  </si>
  <si>
    <t>Phần 1 (120′): Thi thử vào 10 theo lịch toàn hệ thống
Phần 2 (60′): Chữa phần đại theo lỗi sai</t>
  </si>
  <si>
    <t>Mỗi tuần từ tuần 46 tới ngày thi vào 10 (đề vào 10 làm 120′)</t>
  </si>
  <si>
    <t>Chữa phần hình đề thi thử · luyện lại dạng hình mất điểm</t>
  </si>
  <si>
    <t>Mỗi tuần từ tuần 46 tới ngày thi vào 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</si>
</sst>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1.0"/>
      <color theme="1"/>
      <name val="Calibri"/>
      <scheme val="minor"/>
    </font>
    <font>
      <b/>
      <sz val="13.0"/>
      <color rgb="FF1F4E79"/>
      <name val="Calibri"/>
    </font>
    <font>
      <b/>
      <sz val="14.0"/>
      <color rgb="FF1F4E79"/>
      <name val="Calibri"/>
    </font>
    <font>
      <sz val="11.0"/>
      <color rgb="FF000000"/>
      <name val="Calibri"/>
    </font>
    <font>
      <b/>
      <sz val="10.0"/>
      <color rgb="FFFFFFFF"/>
      <name val="Calibri"/>
    </font>
    <font>
      <b/>
      <color theme="1"/>
      <name val="Calibri"/>
      <scheme val="minor"/>
    </font>
    <font>
      <sz val="10.0"/>
      <color theme="1"/>
      <name val="Calibri"/>
    </font>
    <font>
      <sz val="11.0"/>
      <color theme="1"/>
      <name val="Calibri"/>
    </font>
    <font>
      <b/>
      <sz val="10.0"/>
      <color theme="1"/>
      <name val="Calibri"/>
    </font>
    <font>
      <i/>
      <sz val="10.0"/>
      <color theme="1"/>
      <name val="Calibri"/>
      <scheme val="minor"/>
    </font>
    <font>
      <b/>
      <color rgb="FFFFFFFF"/>
      <name val="Calibri"/>
    </font>
  </fonts>
  <fills count="15">
    <fill>
      <patternFill patternType="none"/>
    </fill>
    <fill>
      <patternFill patternType="lightGray"/>
    </fill>
    <fill>
      <patternFill patternType="solid">
        <fgColor rgb="FF1F4E79"/>
        <bgColor rgb="FF1F4E79"/>
      </patternFill>
    </fill>
    <fill>
      <patternFill patternType="solid">
        <fgColor rgb="FFFFFF99"/>
        <bgColor rgb="FFFFFF99"/>
      </patternFill>
    </fill>
    <fill>
      <patternFill patternType="solid">
        <fgColor rgb="FFEDEDED"/>
        <bgColor rgb="FFEDEDED"/>
      </patternFill>
    </fill>
    <fill>
      <patternFill patternType="solid">
        <fgColor rgb="FFD9D9D9"/>
        <bgColor rgb="FFD9D9D9"/>
      </patternFill>
    </fill>
    <fill>
      <patternFill patternType="solid">
        <fgColor rgb="FFD9EAD3"/>
        <bgColor rgb="FFD9EAD3"/>
      </patternFill>
    </fill>
    <fill>
      <patternFill patternType="solid">
        <fgColor rgb="FFFFE699"/>
        <bgColor rgb="FFFFE699"/>
      </patternFill>
    </fill>
    <fill>
      <patternFill patternType="solid">
        <fgColor rgb="FFDDEBF7"/>
        <bgColor rgb="FFDDEBF7"/>
      </patternFill>
    </fill>
    <fill>
      <patternFill patternType="solid">
        <fgColor rgb="FFF8CBAD"/>
        <bgColor rgb="FFF8CBAD"/>
      </patternFill>
    </fill>
    <fill>
      <patternFill patternType="solid">
        <fgColor rgb="FFE7E6E6"/>
        <bgColor rgb="FFE7E6E6"/>
      </patternFill>
    </fill>
    <fill>
      <patternFill patternType="solid">
        <fgColor rgb="FFFFF2CC"/>
        <bgColor rgb="FFFFF2CC"/>
      </patternFill>
    </fill>
    <fill>
      <patternFill patternType="solid">
        <fgColor rgb="FFCFE2F3"/>
        <bgColor rgb="FFCFE2F3"/>
      </patternFill>
    </fill>
    <fill>
      <patternFill patternType="solid">
        <fgColor rgb="FFFFC7CE"/>
        <bgColor rgb="FFFFC7CE"/>
      </patternFill>
    </fill>
    <fill>
      <patternFill patternType="solid">
        <fgColor rgb="FFF4CCCC"/>
        <bgColor rgb="FFF4CCCC"/>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Font="1"/>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0" fillId="0" fontId="5" numFmtId="0" xfId="0" applyFont="1"/>
    <xf borderId="1" fillId="0" fontId="6" numFmtId="0" xfId="0" applyAlignment="1" applyBorder="1" applyFont="1">
      <alignment shrinkToFit="0" vertical="top" wrapText="1"/>
    </xf>
    <xf borderId="2" fillId="3" fontId="7" numFmtId="164" xfId="0" applyBorder="1" applyFill="1" applyFont="1" applyNumberFormat="1"/>
    <xf borderId="1" fillId="0" fontId="7" numFmtId="0" xfId="0" applyAlignment="1" applyBorder="1" applyFont="1">
      <alignment horizontal="center" vertical="center"/>
    </xf>
    <xf borderId="1" fillId="0" fontId="8" numFmtId="0" xfId="0" applyAlignment="1" applyBorder="1" applyFont="1">
      <alignment shrinkToFit="0" vertical="top" wrapText="1"/>
    </xf>
    <xf borderId="0" fillId="0" fontId="9" numFmtId="0" xfId="0" applyFont="1"/>
    <xf borderId="1" fillId="2" fontId="10" numFmtId="0" xfId="0" applyAlignment="1" applyBorder="1" applyFill="1" applyFont="1">
      <alignment horizontal="center" shrinkToFit="0" wrapText="1"/>
    </xf>
    <xf borderId="1" fillId="0" fontId="6" numFmtId="164" xfId="0" applyAlignment="1" applyBorder="1" applyFont="1" applyNumberFormat="1">
      <alignment shrinkToFit="0" vertical="top" wrapText="1"/>
    </xf>
    <xf borderId="1" fillId="4" fontId="6" numFmtId="0" xfId="0" applyAlignment="1" applyBorder="1" applyFill="1" applyFont="1">
      <alignment shrinkToFit="0" vertical="top" wrapText="1"/>
    </xf>
    <xf borderId="1" fillId="0" fontId="7" numFmtId="0" xfId="0" applyAlignment="1" applyBorder="1" applyFont="1">
      <alignment vertical="top"/>
    </xf>
    <xf borderId="1" fillId="5" fontId="8" numFmtId="0" xfId="0" applyAlignment="1" applyBorder="1" applyFill="1" applyFont="1">
      <alignment shrinkToFit="0" vertical="top" wrapText="1"/>
    </xf>
    <xf borderId="1" fillId="5" fontId="6" numFmtId="0" xfId="0" applyAlignment="1" applyBorder="1" applyFill="1" applyFont="1">
      <alignment shrinkToFit="0" vertical="top" wrapText="1"/>
    </xf>
    <xf borderId="1" fillId="6" fontId="6" numFmtId="0" xfId="0" applyAlignment="1" applyBorder="1" applyFill="1" applyFont="1">
      <alignment shrinkToFit="0" vertical="top" wrapText="1"/>
    </xf>
    <xf borderId="1" fillId="7" fontId="6" numFmtId="0" xfId="0" applyAlignment="1" applyBorder="1" applyFill="1" applyFont="1">
      <alignment shrinkToFit="0" vertical="top" wrapText="1"/>
    </xf>
    <xf borderId="1" fillId="8" fontId="6" numFmtId="0" xfId="0" applyAlignment="1" applyBorder="1" applyFill="1" applyFont="1">
      <alignment shrinkToFit="0" vertical="top" wrapText="1"/>
    </xf>
    <xf borderId="1" fillId="9" fontId="8" numFmtId="0" xfId="0" applyAlignment="1" applyBorder="1" applyFill="1" applyFont="1">
      <alignment shrinkToFit="0" vertical="top" wrapText="1"/>
    </xf>
    <xf borderId="1" fillId="9" fontId="6" numFmtId="0" xfId="0" applyAlignment="1" applyBorder="1" applyFill="1" applyFont="1">
      <alignment shrinkToFit="0" vertical="top" wrapText="1"/>
    </xf>
    <xf borderId="1" fillId="10" fontId="6" numFmtId="0" xfId="0" applyAlignment="1" applyBorder="1" applyFill="1" applyFont="1">
      <alignment shrinkToFit="0" vertical="top" wrapText="1"/>
    </xf>
    <xf borderId="1" fillId="11" fontId="6" numFmtId="0" xfId="0" applyAlignment="1" applyBorder="1" applyFill="1" applyFont="1">
      <alignment shrinkToFit="0" vertical="top" wrapText="1"/>
    </xf>
    <xf borderId="1" fillId="12" fontId="6" numFmtId="0" xfId="0" applyAlignment="1" applyBorder="1" applyFill="1" applyFont="1">
      <alignment shrinkToFit="0" vertical="top" wrapText="1"/>
    </xf>
    <xf borderId="1" fillId="13" fontId="6" numFmtId="0" xfId="0" applyAlignment="1" applyBorder="1" applyFill="1" applyFont="1">
      <alignment shrinkToFit="0" vertical="top" wrapText="1"/>
    </xf>
    <xf borderId="1" fillId="14" fontId="6" numFmtId="0" xfId="0" applyAlignment="1" applyBorder="1" applyFill="1" applyFont="1">
      <alignment shrinkToFit="0" vertical="top" wrapText="1"/>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0"/>
    <col customWidth="1" min="2" max="26" width="8.71"/>
  </cols>
  <sheetData>
    <row r="1">
      <c r="A1" s="1" t="s">
        <v>0</v>
      </c>
    </row>
    <row r="2">
      <c r="A2" s="3" t="s">
        <v>3</v>
      </c>
    </row>
    <row r="3">
      <c r="A3" s="3" t="s">
        <v>4</v>
      </c>
    </row>
    <row r="4">
      <c r="A4" s="3" t="s">
        <v>5</v>
      </c>
    </row>
    <row r="5">
      <c r="A5" s="3" t="s">
        <v>7</v>
      </c>
    </row>
    <row r="6">
      <c r="A6" s="3" t="s">
        <v>8</v>
      </c>
    </row>
    <row r="7">
      <c r="A7" s="3" t="s">
        <v>9</v>
      </c>
    </row>
    <row r="8">
      <c r="A8" s="3"/>
    </row>
    <row r="9">
      <c r="A9" s="3" t="s">
        <v>10</v>
      </c>
    </row>
    <row r="10">
      <c r="A10" s="3" t="s">
        <v>11</v>
      </c>
    </row>
    <row r="11">
      <c r="A11" s="3" t="s">
        <v>13</v>
      </c>
    </row>
    <row r="12">
      <c r="A12" s="3"/>
    </row>
    <row r="13">
      <c r="A13" s="3" t="s">
        <v>18</v>
      </c>
    </row>
    <row r="14">
      <c r="A14" s="3" t="s">
        <v>22</v>
      </c>
    </row>
    <row r="15">
      <c r="A15" s="3" t="s">
        <v>26</v>
      </c>
    </row>
    <row r="16">
      <c r="A16" s="3" t="s">
        <v>30</v>
      </c>
    </row>
    <row r="17">
      <c r="A17" s="3" t="s">
        <v>34</v>
      </c>
    </row>
    <row r="18">
      <c r="A18" s="3" t="s">
        <v>36</v>
      </c>
    </row>
    <row r="19">
      <c r="A19" s="3" t="s">
        <v>40</v>
      </c>
    </row>
    <row r="20">
      <c r="A20" s="3"/>
    </row>
    <row r="21" ht="15.75" customHeight="1">
      <c r="A21" s="3" t="s">
        <v>45</v>
      </c>
    </row>
    <row r="22" ht="15.75" customHeight="1">
      <c r="A22" s="3" t="s">
        <v>47</v>
      </c>
    </row>
    <row r="23" ht="15.75" customHeight="1">
      <c r="A23" s="3"/>
    </row>
    <row r="24" ht="15.75" customHeight="1">
      <c r="A24" s="3" t="s">
        <v>50</v>
      </c>
    </row>
    <row r="25" ht="15.75" customHeight="1">
      <c r="A25" s="3" t="s">
        <v>51</v>
      </c>
    </row>
    <row r="26" ht="15.75" customHeight="1">
      <c r="A26" s="3"/>
    </row>
    <row r="27" ht="15.75" customHeight="1">
      <c r="A27" s="3" t="s">
        <v>52</v>
      </c>
    </row>
    <row r="28" ht="15.75" customHeight="1">
      <c r="A28" s="3" t="s">
        <v>53</v>
      </c>
    </row>
    <row r="29" ht="15.75" customHeight="1">
      <c r="A29" s="3"/>
    </row>
    <row r="30" ht="15.75" customHeight="1">
      <c r="A30" s="3" t="s">
        <v>55</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8" width="12.0"/>
    <col customWidth="1" min="9" max="9" width="13.0"/>
    <col customWidth="1" min="10" max="10" width="10.0"/>
    <col customWidth="1" min="11" max="12" width="9.0"/>
    <col customWidth="1" min="13" max="13" width="11.0"/>
    <col customWidth="1" min="14" max="14" width="10.0"/>
    <col customWidth="1" min="15" max="15" width="12.0"/>
    <col customWidth="1" min="16" max="16" width="11.0"/>
    <col customWidth="1" min="17" max="18" width="13.0"/>
    <col customWidth="1" min="19" max="26" width="8.71"/>
  </cols>
  <sheetData>
    <row r="1">
      <c r="A1" s="2" t="s">
        <v>1</v>
      </c>
    </row>
    <row r="3">
      <c r="A3" s="4" t="s">
        <v>6</v>
      </c>
      <c r="B3" s="4" t="s">
        <v>14</v>
      </c>
      <c r="C3" s="4" t="s">
        <v>16</v>
      </c>
      <c r="D3" s="4" t="s">
        <v>19</v>
      </c>
      <c r="E3" s="4" t="s">
        <v>21</v>
      </c>
      <c r="F3" s="4" t="s">
        <v>24</v>
      </c>
      <c r="G3" s="4" t="s">
        <v>27</v>
      </c>
      <c r="H3" s="4" t="s">
        <v>29</v>
      </c>
      <c r="I3" s="4" t="s">
        <v>31</v>
      </c>
      <c r="J3" s="4" t="s">
        <v>33</v>
      </c>
      <c r="K3" s="4" t="s">
        <v>35</v>
      </c>
      <c r="L3" s="4" t="s">
        <v>37</v>
      </c>
      <c r="M3" s="4" t="s">
        <v>38</v>
      </c>
      <c r="N3" s="4" t="s">
        <v>39</v>
      </c>
      <c r="O3" s="4" t="s">
        <v>41</v>
      </c>
      <c r="P3" s="4" t="s">
        <v>42</v>
      </c>
      <c r="Q3" s="4" t="s">
        <v>43</v>
      </c>
      <c r="R3" s="4" t="s">
        <v>44</v>
      </c>
    </row>
    <row r="4">
      <c r="A4" s="8" t="s">
        <v>48</v>
      </c>
      <c r="B4" s="8">
        <v>14.0</v>
      </c>
      <c r="C4" s="8">
        <v>13.0</v>
      </c>
      <c r="D4" s="8">
        <v>19.0</v>
      </c>
      <c r="E4" s="8">
        <v>4.0</v>
      </c>
      <c r="F4" s="8">
        <v>14.0</v>
      </c>
      <c r="G4" s="8">
        <v>9.0</v>
      </c>
      <c r="H4" s="8">
        <v>8.0</v>
      </c>
      <c r="I4" s="8">
        <v>11.0</v>
      </c>
      <c r="J4" s="8">
        <v>81.0</v>
      </c>
      <c r="K4" s="8">
        <v>90.0</v>
      </c>
      <c r="L4" s="8">
        <v>90.0</v>
      </c>
      <c r="M4" s="8">
        <v>122.0</v>
      </c>
      <c r="N4" s="8" t="s">
        <v>59</v>
      </c>
      <c r="O4" s="8">
        <v>16.0</v>
      </c>
      <c r="P4" s="8">
        <v>8.0</v>
      </c>
      <c r="Q4" s="8">
        <v>0.0</v>
      </c>
      <c r="R4" s="8">
        <v>39.0</v>
      </c>
    </row>
    <row r="5">
      <c r="A5" s="8" t="s">
        <v>63</v>
      </c>
      <c r="B5" s="8">
        <v>21.0</v>
      </c>
      <c r="C5" s="8">
        <v>8.0</v>
      </c>
      <c r="D5" s="8">
        <v>13.0</v>
      </c>
      <c r="E5" s="8">
        <v>5.0</v>
      </c>
      <c r="F5" s="8">
        <v>17.0</v>
      </c>
      <c r="G5" s="8">
        <v>9.0</v>
      </c>
      <c r="H5" s="8">
        <v>8.0</v>
      </c>
      <c r="I5" s="8">
        <v>4.0</v>
      </c>
      <c r="J5" s="8">
        <v>81.0</v>
      </c>
      <c r="K5" s="8">
        <v>90.0</v>
      </c>
      <c r="L5" s="8">
        <v>90.0</v>
      </c>
      <c r="M5" s="8">
        <v>122.0</v>
      </c>
      <c r="N5" s="8" t="s">
        <v>68</v>
      </c>
      <c r="O5" s="8">
        <v>27.0</v>
      </c>
      <c r="P5" s="8">
        <v>25.0</v>
      </c>
      <c r="Q5" s="8">
        <v>0.0</v>
      </c>
      <c r="R5" s="8">
        <v>40.0</v>
      </c>
    </row>
    <row r="6">
      <c r="A6" s="8" t="s">
        <v>70</v>
      </c>
      <c r="B6" s="8">
        <v>18.0</v>
      </c>
      <c r="C6" s="8">
        <v>10.0</v>
      </c>
      <c r="D6" s="8">
        <v>17.0</v>
      </c>
      <c r="E6" s="8">
        <v>5.0</v>
      </c>
      <c r="F6" s="8">
        <v>16.0</v>
      </c>
      <c r="G6" s="8">
        <v>8.0</v>
      </c>
      <c r="H6" s="8">
        <v>8.0</v>
      </c>
      <c r="I6" s="8">
        <v>5.0</v>
      </c>
      <c r="J6" s="8">
        <v>82.0</v>
      </c>
      <c r="K6" s="8">
        <v>90.0</v>
      </c>
      <c r="L6" s="8">
        <v>90.0</v>
      </c>
      <c r="M6" s="8">
        <v>123.0</v>
      </c>
      <c r="N6" s="8" t="s">
        <v>76</v>
      </c>
      <c r="O6" s="8">
        <v>24.0</v>
      </c>
      <c r="P6" s="8">
        <v>24.0</v>
      </c>
      <c r="Q6" s="8">
        <v>0.0</v>
      </c>
      <c r="R6" s="8">
        <v>43.0</v>
      </c>
    </row>
    <row r="7">
      <c r="A7" s="8" t="s">
        <v>82</v>
      </c>
      <c r="B7" s="8">
        <v>17.0</v>
      </c>
      <c r="C7" s="8">
        <v>6.0</v>
      </c>
      <c r="D7" s="8">
        <v>19.0</v>
      </c>
      <c r="E7" s="8">
        <v>5.0</v>
      </c>
      <c r="F7" s="8">
        <v>19.0</v>
      </c>
      <c r="G7" s="8">
        <v>8.0</v>
      </c>
      <c r="H7" s="8">
        <v>8.0</v>
      </c>
      <c r="I7" s="8">
        <v>0.0</v>
      </c>
      <c r="J7" s="8">
        <v>82.0</v>
      </c>
      <c r="K7" s="8">
        <v>180.0</v>
      </c>
      <c r="L7" s="8">
        <v>90.0</v>
      </c>
      <c r="M7" s="8">
        <v>184.0</v>
      </c>
      <c r="N7" s="8" t="s">
        <v>99</v>
      </c>
      <c r="O7" s="8">
        <v>22.0</v>
      </c>
      <c r="P7" s="8">
        <v>11.0</v>
      </c>
      <c r="Q7" s="8">
        <v>0.0</v>
      </c>
      <c r="R7" s="8">
        <v>41.0</v>
      </c>
    </row>
    <row r="9">
      <c r="A9" s="10" t="s">
        <v>104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8.0"/>
    <col customWidth="1" min="2" max="2" width="12.0"/>
    <col customWidth="1" min="3" max="3" width="30.0"/>
    <col customWidth="1" min="4" max="4" width="60.0"/>
    <col customWidth="1" min="5" max="5" width="34.0"/>
    <col customWidth="1" min="6" max="6" width="50.0"/>
    <col customWidth="1" min="7" max="26" width="8.71"/>
  </cols>
  <sheetData>
    <row r="1">
      <c r="A1" s="2" t="s">
        <v>2</v>
      </c>
    </row>
    <row r="3">
      <c r="A3" s="4" t="s">
        <v>6</v>
      </c>
      <c r="B3" s="4" t="s">
        <v>15</v>
      </c>
      <c r="C3" s="4" t="s">
        <v>17</v>
      </c>
      <c r="D3" s="4" t="s">
        <v>20</v>
      </c>
      <c r="E3" s="4" t="s">
        <v>23</v>
      </c>
      <c r="F3" s="4" t="s">
        <v>25</v>
      </c>
    </row>
    <row r="4">
      <c r="A4" s="6" t="s">
        <v>32</v>
      </c>
      <c r="B4" s="6" t="s">
        <v>46</v>
      </c>
      <c r="C4" s="9" t="s">
        <v>49</v>
      </c>
      <c r="D4" s="6" t="s">
        <v>56</v>
      </c>
      <c r="E4" s="6" t="s">
        <v>57</v>
      </c>
      <c r="F4" s="6" t="s">
        <v>58</v>
      </c>
    </row>
    <row r="5">
      <c r="A5" s="6" t="s">
        <v>32</v>
      </c>
      <c r="B5" s="6" t="s">
        <v>60</v>
      </c>
      <c r="C5" s="9" t="s">
        <v>62</v>
      </c>
      <c r="D5" s="6" t="s">
        <v>64</v>
      </c>
      <c r="E5" s="6" t="s">
        <v>65</v>
      </c>
      <c r="F5" s="6" t="s">
        <v>66</v>
      </c>
    </row>
    <row r="6">
      <c r="A6" s="6" t="s">
        <v>32</v>
      </c>
      <c r="B6" s="6" t="s">
        <v>73</v>
      </c>
      <c r="C6" s="9" t="s">
        <v>75</v>
      </c>
      <c r="D6" s="6" t="s">
        <v>78</v>
      </c>
      <c r="E6" s="6" t="s">
        <v>80</v>
      </c>
      <c r="F6" s="6" t="s">
        <v>83</v>
      </c>
    </row>
    <row r="7">
      <c r="A7" s="6" t="s">
        <v>32</v>
      </c>
      <c r="B7" s="6" t="s">
        <v>86</v>
      </c>
      <c r="C7" s="9" t="s">
        <v>88</v>
      </c>
      <c r="D7" s="6" t="s">
        <v>89</v>
      </c>
      <c r="E7" s="6" t="s">
        <v>91</v>
      </c>
      <c r="F7" s="6" t="s">
        <v>92</v>
      </c>
    </row>
    <row r="8">
      <c r="A8" s="6" t="s">
        <v>48</v>
      </c>
      <c r="B8" s="6" t="s">
        <v>93</v>
      </c>
      <c r="C8" s="9" t="s">
        <v>94</v>
      </c>
      <c r="D8" s="6" t="s">
        <v>95</v>
      </c>
      <c r="E8" s="6" t="s">
        <v>96</v>
      </c>
      <c r="F8" s="6" t="s">
        <v>98</v>
      </c>
    </row>
    <row r="9">
      <c r="A9" s="6" t="s">
        <v>48</v>
      </c>
      <c r="B9" s="6" t="s">
        <v>93</v>
      </c>
      <c r="C9" s="9" t="s">
        <v>100</v>
      </c>
      <c r="D9" s="6" t="s">
        <v>101</v>
      </c>
      <c r="E9" s="6" t="s">
        <v>102</v>
      </c>
      <c r="F9" s="6" t="s">
        <v>103</v>
      </c>
    </row>
    <row r="10">
      <c r="A10" s="6" t="s">
        <v>48</v>
      </c>
      <c r="B10" s="6" t="s">
        <v>93</v>
      </c>
      <c r="C10" s="9" t="s">
        <v>105</v>
      </c>
      <c r="D10" s="6" t="s">
        <v>106</v>
      </c>
      <c r="E10" s="6" t="s">
        <v>107</v>
      </c>
      <c r="F10" s="6" t="s">
        <v>108</v>
      </c>
    </row>
    <row r="11">
      <c r="A11" s="6" t="s">
        <v>63</v>
      </c>
      <c r="B11" s="6" t="s">
        <v>109</v>
      </c>
      <c r="C11" s="9" t="s">
        <v>110</v>
      </c>
      <c r="D11" s="6" t="s">
        <v>111</v>
      </c>
      <c r="E11" s="6" t="s">
        <v>112</v>
      </c>
      <c r="F11" s="6" t="s">
        <v>113</v>
      </c>
    </row>
    <row r="12">
      <c r="A12" s="6" t="s">
        <v>63</v>
      </c>
      <c r="B12" s="6" t="s">
        <v>109</v>
      </c>
      <c r="C12" s="9" t="s">
        <v>114</v>
      </c>
      <c r="D12" s="6" t="s">
        <v>115</v>
      </c>
      <c r="E12" s="6" t="s">
        <v>116</v>
      </c>
      <c r="F12" s="6" t="s">
        <v>117</v>
      </c>
    </row>
    <row r="13">
      <c r="A13" s="6" t="s">
        <v>63</v>
      </c>
      <c r="B13" s="6" t="s">
        <v>118</v>
      </c>
      <c r="C13" s="9" t="s">
        <v>119</v>
      </c>
      <c r="D13" s="6" t="s">
        <v>120</v>
      </c>
      <c r="E13" s="6" t="s">
        <v>121</v>
      </c>
      <c r="F13" s="6" t="s">
        <v>122</v>
      </c>
    </row>
    <row r="14">
      <c r="A14" s="6" t="s">
        <v>70</v>
      </c>
      <c r="B14" s="6" t="s">
        <v>109</v>
      </c>
      <c r="C14" s="9" t="s">
        <v>123</v>
      </c>
      <c r="D14" s="6" t="s">
        <v>124</v>
      </c>
      <c r="E14" s="6" t="s">
        <v>125</v>
      </c>
      <c r="F14" s="6" t="s">
        <v>126</v>
      </c>
    </row>
    <row r="15">
      <c r="A15" s="6" t="s">
        <v>70</v>
      </c>
      <c r="B15" s="6" t="s">
        <v>109</v>
      </c>
      <c r="C15" s="9" t="s">
        <v>127</v>
      </c>
      <c r="D15" s="6" t="s">
        <v>128</v>
      </c>
      <c r="E15" s="6" t="s">
        <v>129</v>
      </c>
      <c r="F15" s="6" t="s">
        <v>130</v>
      </c>
    </row>
    <row r="16">
      <c r="A16" s="6" t="s">
        <v>70</v>
      </c>
      <c r="B16" s="6" t="s">
        <v>118</v>
      </c>
      <c r="C16" s="9" t="s">
        <v>131</v>
      </c>
      <c r="D16" s="6" t="s">
        <v>132</v>
      </c>
      <c r="E16" s="6" t="s">
        <v>133</v>
      </c>
      <c r="F16" s="6" t="s">
        <v>134</v>
      </c>
    </row>
    <row r="17">
      <c r="A17" s="6" t="s">
        <v>82</v>
      </c>
      <c r="B17" s="6" t="s">
        <v>109</v>
      </c>
      <c r="C17" s="9" t="s">
        <v>135</v>
      </c>
      <c r="D17" s="6" t="s">
        <v>136</v>
      </c>
      <c r="E17" s="6" t="s">
        <v>137</v>
      </c>
      <c r="F17" s="6" t="s">
        <v>138</v>
      </c>
    </row>
    <row r="18">
      <c r="A18" s="6" t="s">
        <v>82</v>
      </c>
      <c r="B18" s="6" t="s">
        <v>93</v>
      </c>
      <c r="C18" s="9" t="s">
        <v>139</v>
      </c>
      <c r="D18" s="6" t="s">
        <v>140</v>
      </c>
      <c r="E18" s="6" t="s">
        <v>141</v>
      </c>
      <c r="F18" s="6" t="s">
        <v>143</v>
      </c>
    </row>
    <row r="19">
      <c r="A19" s="6" t="s">
        <v>82</v>
      </c>
      <c r="B19" s="6" t="s">
        <v>118</v>
      </c>
      <c r="C19" s="9" t="s">
        <v>144</v>
      </c>
      <c r="D19" s="6" t="s">
        <v>145</v>
      </c>
      <c r="E19" s="6" t="s">
        <v>146</v>
      </c>
      <c r="F19" s="6" t="s">
        <v>147</v>
      </c>
    </row>
    <row r="20" ht="15.75" customHeight="1">
      <c r="A20" s="6" t="s">
        <v>82</v>
      </c>
      <c r="B20" s="6" t="s">
        <v>109</v>
      </c>
      <c r="C20" s="9" t="s">
        <v>150</v>
      </c>
      <c r="D20" s="6" t="s">
        <v>151</v>
      </c>
      <c r="E20" s="6" t="s">
        <v>152</v>
      </c>
      <c r="F20" s="6" t="s">
        <v>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6.0"/>
    <col customWidth="1" min="2" max="2" width="11.0"/>
    <col customWidth="1" min="3" max="3" width="10.0"/>
    <col customWidth="1" min="4" max="4" width="12.0"/>
    <col customWidth="1" min="5" max="5" width="9.0"/>
    <col customWidth="1" min="6" max="6" width="50.0"/>
    <col customWidth="1" min="7" max="7" width="36.0"/>
    <col customWidth="1" min="8" max="8" width="7.0"/>
    <col customWidth="1" min="9" max="9" width="13.0"/>
    <col customWidth="1" min="10" max="10" width="36.0"/>
    <col customWidth="1" hidden="1" min="11" max="11" width="24.0"/>
    <col customWidth="1" min="12" max="12" width="42.0"/>
    <col customWidth="1" min="13" max="13" width="40.0"/>
    <col customWidth="1" min="14" max="14" width="20.14"/>
    <col customWidth="1" min="15" max="26" width="8.71"/>
  </cols>
  <sheetData>
    <row r="1">
      <c r="A1" s="2" t="s">
        <v>12</v>
      </c>
    </row>
    <row r="2">
      <c r="A2" s="5" t="s">
        <v>28</v>
      </c>
      <c r="C2" s="7">
        <v>46194.0</v>
      </c>
      <c r="E2" s="10" t="s">
        <v>54</v>
      </c>
    </row>
    <row r="3">
      <c r="E3" s="10" t="s">
        <v>61</v>
      </c>
    </row>
    <row r="4">
      <c r="A4" s="4" t="s">
        <v>67</v>
      </c>
      <c r="B4" s="4" t="s">
        <v>69</v>
      </c>
      <c r="C4" s="4" t="s">
        <v>71</v>
      </c>
      <c r="D4" s="4" t="s">
        <v>15</v>
      </c>
      <c r="E4" s="4" t="s">
        <v>72</v>
      </c>
      <c r="F4" s="4" t="s">
        <v>74</v>
      </c>
      <c r="G4" s="4" t="s">
        <v>77</v>
      </c>
      <c r="H4" s="4" t="s">
        <v>79</v>
      </c>
      <c r="I4" s="4" t="s">
        <v>81</v>
      </c>
      <c r="J4" s="4" t="s">
        <v>84</v>
      </c>
      <c r="K4" s="4" t="s">
        <v>85</v>
      </c>
      <c r="L4" s="4" t="s">
        <v>87</v>
      </c>
      <c r="M4" s="4" t="s">
        <v>90</v>
      </c>
      <c r="N4" s="11" t="s">
        <v>97</v>
      </c>
    </row>
    <row r="5">
      <c r="A5" s="6">
        <v>1.0</v>
      </c>
      <c r="B5" s="12">
        <f t="shared" ref="B5:B6" si="1">$C$2+7*(1-1)</f>
        <v>46194</v>
      </c>
      <c r="C5" s="13" t="s">
        <v>142</v>
      </c>
      <c r="D5" s="6" t="s">
        <v>109</v>
      </c>
      <c r="E5" s="6" t="s">
        <v>148</v>
      </c>
      <c r="F5" s="6" t="s">
        <v>149</v>
      </c>
      <c r="G5" s="6"/>
      <c r="H5" s="6"/>
      <c r="I5" s="6" t="s">
        <v>153</v>
      </c>
      <c r="J5" s="6"/>
      <c r="K5" s="6"/>
      <c r="L5" s="6" t="s">
        <v>155</v>
      </c>
      <c r="M5" s="6"/>
      <c r="N5" s="14"/>
    </row>
    <row r="6">
      <c r="A6" s="6">
        <v>1.0</v>
      </c>
      <c r="B6" s="12">
        <f t="shared" si="1"/>
        <v>46194</v>
      </c>
      <c r="C6" s="13" t="s">
        <v>142</v>
      </c>
      <c r="D6" s="6" t="s">
        <v>118</v>
      </c>
      <c r="E6" s="6" t="s">
        <v>148</v>
      </c>
      <c r="F6" s="6" t="s">
        <v>156</v>
      </c>
      <c r="G6" s="6"/>
      <c r="H6" s="6"/>
      <c r="I6" s="6" t="s">
        <v>153</v>
      </c>
      <c r="J6" s="6"/>
      <c r="K6" s="6"/>
      <c r="L6" s="6" t="s">
        <v>157</v>
      </c>
      <c r="M6" s="6"/>
      <c r="N6" s="14"/>
    </row>
    <row r="7">
      <c r="A7" s="6">
        <v>2.0</v>
      </c>
      <c r="B7" s="12">
        <f t="shared" ref="B7:B8" si="2">$C$2+7*(2-1)</f>
        <v>46201</v>
      </c>
      <c r="C7" s="13" t="s">
        <v>142</v>
      </c>
      <c r="D7" s="6" t="s">
        <v>109</v>
      </c>
      <c r="E7" s="6" t="s">
        <v>148</v>
      </c>
      <c r="F7" s="6" t="s">
        <v>158</v>
      </c>
      <c r="G7" s="6"/>
      <c r="H7" s="6"/>
      <c r="I7" s="6" t="s">
        <v>153</v>
      </c>
      <c r="J7" s="6"/>
      <c r="K7" s="6"/>
      <c r="L7" s="6" t="s">
        <v>155</v>
      </c>
      <c r="M7" s="6" t="s">
        <v>158</v>
      </c>
      <c r="N7" s="14"/>
    </row>
    <row r="8">
      <c r="A8" s="6">
        <v>2.0</v>
      </c>
      <c r="B8" s="12">
        <f t="shared" si="2"/>
        <v>46201</v>
      </c>
      <c r="C8" s="13" t="s">
        <v>142</v>
      </c>
      <c r="D8" s="6" t="s">
        <v>118</v>
      </c>
      <c r="E8" s="6" t="s">
        <v>148</v>
      </c>
      <c r="F8" s="6" t="s">
        <v>156</v>
      </c>
      <c r="G8" s="6"/>
      <c r="H8" s="6"/>
      <c r="I8" s="6" t="s">
        <v>153</v>
      </c>
      <c r="J8" s="6"/>
      <c r="K8" s="6"/>
      <c r="L8" s="6" t="s">
        <v>157</v>
      </c>
      <c r="M8" s="6" t="s">
        <v>158</v>
      </c>
      <c r="N8" s="14"/>
    </row>
    <row r="9">
      <c r="A9" s="6">
        <v>3.0</v>
      </c>
      <c r="B9" s="12">
        <f t="shared" ref="B9:B10" si="3">$C$2+7*(3-1)</f>
        <v>46208</v>
      </c>
      <c r="C9" s="13" t="s">
        <v>142</v>
      </c>
      <c r="D9" s="6" t="s">
        <v>109</v>
      </c>
      <c r="E9" s="6" t="s">
        <v>148</v>
      </c>
      <c r="F9" s="6" t="s">
        <v>159</v>
      </c>
      <c r="G9" s="6"/>
      <c r="H9" s="6"/>
      <c r="I9" s="6" t="s">
        <v>153</v>
      </c>
      <c r="J9" s="6"/>
      <c r="K9" s="6"/>
      <c r="L9" s="6" t="s">
        <v>155</v>
      </c>
      <c r="M9" s="6" t="s">
        <v>159</v>
      </c>
      <c r="N9" s="14"/>
    </row>
    <row r="10">
      <c r="A10" s="6">
        <v>3.0</v>
      </c>
      <c r="B10" s="12">
        <f t="shared" si="3"/>
        <v>46208</v>
      </c>
      <c r="C10" s="13" t="s">
        <v>142</v>
      </c>
      <c r="D10" s="6" t="s">
        <v>118</v>
      </c>
      <c r="E10" s="6" t="s">
        <v>148</v>
      </c>
      <c r="F10" s="6" t="s">
        <v>156</v>
      </c>
      <c r="G10" s="6"/>
      <c r="H10" s="6"/>
      <c r="I10" s="6" t="s">
        <v>153</v>
      </c>
      <c r="J10" s="6"/>
      <c r="K10" s="6"/>
      <c r="L10" s="6" t="s">
        <v>157</v>
      </c>
      <c r="M10" s="6" t="s">
        <v>159</v>
      </c>
      <c r="N10" s="14"/>
    </row>
    <row r="11">
      <c r="A11" s="6">
        <v>4.0</v>
      </c>
      <c r="B11" s="12">
        <f t="shared" ref="B11:B12" si="4">$C$2+7*(4-1)</f>
        <v>46215</v>
      </c>
      <c r="C11" s="13" t="s">
        <v>142</v>
      </c>
      <c r="D11" s="6" t="s">
        <v>109</v>
      </c>
      <c r="E11" s="6" t="s">
        <v>148</v>
      </c>
      <c r="F11" s="6" t="s">
        <v>160</v>
      </c>
      <c r="G11" s="6"/>
      <c r="H11" s="6"/>
      <c r="I11" s="6" t="s">
        <v>153</v>
      </c>
      <c r="J11" s="6"/>
      <c r="K11" s="6"/>
      <c r="L11" s="6" t="s">
        <v>155</v>
      </c>
      <c r="M11" s="6" t="s">
        <v>161</v>
      </c>
      <c r="N11" s="14"/>
    </row>
    <row r="12">
      <c r="A12" s="6">
        <v>4.0</v>
      </c>
      <c r="B12" s="12">
        <f t="shared" si="4"/>
        <v>46215</v>
      </c>
      <c r="C12" s="13" t="s">
        <v>142</v>
      </c>
      <c r="D12" s="6" t="s">
        <v>118</v>
      </c>
      <c r="E12" s="6" t="s">
        <v>148</v>
      </c>
      <c r="F12" s="15" t="s">
        <v>162</v>
      </c>
      <c r="G12" s="6"/>
      <c r="H12" s="6"/>
      <c r="I12" s="16" t="s">
        <v>46</v>
      </c>
      <c r="J12" s="6"/>
      <c r="K12" s="6"/>
      <c r="L12" s="6" t="s">
        <v>155</v>
      </c>
      <c r="M12" s="6" t="s">
        <v>161</v>
      </c>
      <c r="N12" s="14"/>
    </row>
    <row r="13">
      <c r="A13" s="6">
        <v>5.0</v>
      </c>
      <c r="B13" s="12">
        <f t="shared" ref="B13:B14" si="5">$C$2+7*(5-1)</f>
        <v>46222</v>
      </c>
      <c r="C13" s="17" t="s">
        <v>163</v>
      </c>
      <c r="D13" s="6" t="s">
        <v>109</v>
      </c>
      <c r="E13" s="6" t="s">
        <v>148</v>
      </c>
      <c r="F13" s="6" t="s">
        <v>164</v>
      </c>
      <c r="G13" s="6" t="s">
        <v>165</v>
      </c>
      <c r="H13" s="6">
        <v>3.0</v>
      </c>
      <c r="I13" s="6" t="s">
        <v>167</v>
      </c>
      <c r="J13" s="6" t="s">
        <v>168</v>
      </c>
      <c r="K13" s="6" t="s">
        <v>169</v>
      </c>
      <c r="L13" s="6" t="s">
        <v>170</v>
      </c>
      <c r="M13" s="6" t="s">
        <v>171</v>
      </c>
      <c r="N13" s="14"/>
    </row>
    <row r="14">
      <c r="A14" s="6">
        <v>5.0</v>
      </c>
      <c r="B14" s="12">
        <f t="shared" si="5"/>
        <v>46222</v>
      </c>
      <c r="C14" s="17" t="s">
        <v>163</v>
      </c>
      <c r="D14" s="6" t="s">
        <v>118</v>
      </c>
      <c r="E14" s="6" t="s">
        <v>148</v>
      </c>
      <c r="F14" s="6" t="s">
        <v>172</v>
      </c>
      <c r="G14" s="6" t="s">
        <v>173</v>
      </c>
      <c r="H14" s="6">
        <v>3.0</v>
      </c>
      <c r="I14" s="6" t="s">
        <v>175</v>
      </c>
      <c r="J14" s="6" t="s">
        <v>176</v>
      </c>
      <c r="K14" s="6" t="s">
        <v>169</v>
      </c>
      <c r="L14" s="6" t="s">
        <v>177</v>
      </c>
      <c r="M14" s="6"/>
      <c r="N14" s="14"/>
    </row>
    <row r="15">
      <c r="A15" s="6">
        <v>6.0</v>
      </c>
      <c r="B15" s="12">
        <f t="shared" ref="B15:B16" si="6">$C$2+7*(6-1)</f>
        <v>46229</v>
      </c>
      <c r="C15" s="17" t="s">
        <v>163</v>
      </c>
      <c r="D15" s="6" t="s">
        <v>109</v>
      </c>
      <c r="E15" s="6" t="s">
        <v>148</v>
      </c>
      <c r="F15" s="6" t="s">
        <v>178</v>
      </c>
      <c r="G15" s="6" t="s">
        <v>179</v>
      </c>
      <c r="H15" s="6">
        <v>3.0</v>
      </c>
      <c r="I15" s="6" t="s">
        <v>167</v>
      </c>
      <c r="J15" s="6" t="s">
        <v>180</v>
      </c>
      <c r="K15" s="6" t="s">
        <v>169</v>
      </c>
      <c r="L15" s="6" t="s">
        <v>181</v>
      </c>
      <c r="M15" s="6"/>
      <c r="N15" s="14"/>
    </row>
    <row r="16">
      <c r="A16" s="6">
        <v>6.0</v>
      </c>
      <c r="B16" s="12">
        <f t="shared" si="6"/>
        <v>46229</v>
      </c>
      <c r="C16" s="17" t="s">
        <v>163</v>
      </c>
      <c r="D16" s="6" t="s">
        <v>118</v>
      </c>
      <c r="E16" s="6" t="s">
        <v>148</v>
      </c>
      <c r="F16" s="6" t="s">
        <v>182</v>
      </c>
      <c r="G16" s="6" t="s">
        <v>183</v>
      </c>
      <c r="H16" s="6">
        <v>3.0</v>
      </c>
      <c r="I16" s="6" t="s">
        <v>175</v>
      </c>
      <c r="J16" s="6"/>
      <c r="K16" s="6" t="s">
        <v>169</v>
      </c>
      <c r="L16" s="6"/>
      <c r="M16" s="6" t="s">
        <v>184</v>
      </c>
      <c r="N16" s="14"/>
    </row>
    <row r="17">
      <c r="A17" s="6">
        <v>7.0</v>
      </c>
      <c r="B17" s="12">
        <f t="shared" ref="B17:B18" si="7">$C$2+7*(7-1)</f>
        <v>46236</v>
      </c>
      <c r="C17" s="17" t="s">
        <v>163</v>
      </c>
      <c r="D17" s="6" t="s">
        <v>109</v>
      </c>
      <c r="E17" s="6" t="s">
        <v>148</v>
      </c>
      <c r="F17" s="6" t="s">
        <v>185</v>
      </c>
      <c r="G17" s="6" t="s">
        <v>186</v>
      </c>
      <c r="H17" s="6">
        <v>2.0</v>
      </c>
      <c r="I17" s="6" t="s">
        <v>175</v>
      </c>
      <c r="J17" s="6" t="s">
        <v>187</v>
      </c>
      <c r="K17" s="6" t="s">
        <v>169</v>
      </c>
      <c r="L17" s="6" t="s">
        <v>188</v>
      </c>
      <c r="M17" s="6" t="s">
        <v>189</v>
      </c>
      <c r="N17" s="14"/>
    </row>
    <row r="18">
      <c r="A18" s="6">
        <v>7.0</v>
      </c>
      <c r="B18" s="12">
        <f t="shared" si="7"/>
        <v>46236</v>
      </c>
      <c r="C18" s="17" t="s">
        <v>163</v>
      </c>
      <c r="D18" s="6" t="s">
        <v>118</v>
      </c>
      <c r="E18" s="6" t="s">
        <v>148</v>
      </c>
      <c r="F18" s="6" t="s">
        <v>191</v>
      </c>
      <c r="G18" s="6" t="s">
        <v>192</v>
      </c>
      <c r="H18" s="6">
        <v>3.0</v>
      </c>
      <c r="I18" s="6" t="s">
        <v>175</v>
      </c>
      <c r="J18" s="6" t="s">
        <v>194</v>
      </c>
      <c r="K18" s="6" t="s">
        <v>169</v>
      </c>
      <c r="L18" s="6"/>
      <c r="M18" s="6" t="s">
        <v>195</v>
      </c>
      <c r="N18" s="14"/>
    </row>
    <row r="19">
      <c r="A19" s="6">
        <v>8.0</v>
      </c>
      <c r="B19" s="12">
        <f t="shared" ref="B19:B20" si="8">$C$2+7*(8-1)</f>
        <v>46243</v>
      </c>
      <c r="C19" s="17" t="s">
        <v>163</v>
      </c>
      <c r="D19" s="6" t="s">
        <v>109</v>
      </c>
      <c r="E19" s="6" t="s">
        <v>148</v>
      </c>
      <c r="F19" s="6" t="s">
        <v>197</v>
      </c>
      <c r="G19" s="6" t="s">
        <v>198</v>
      </c>
      <c r="H19" s="6">
        <v>1.0</v>
      </c>
      <c r="I19" s="6" t="s">
        <v>175</v>
      </c>
      <c r="J19" s="6" t="s">
        <v>199</v>
      </c>
      <c r="K19" s="6" t="s">
        <v>169</v>
      </c>
      <c r="L19" s="6" t="s">
        <v>200</v>
      </c>
      <c r="M19" s="6" t="s">
        <v>201</v>
      </c>
      <c r="N19" s="14"/>
    </row>
    <row r="20">
      <c r="A20" s="6">
        <v>8.0</v>
      </c>
      <c r="B20" s="12">
        <f t="shared" si="8"/>
        <v>46243</v>
      </c>
      <c r="C20" s="17" t="s">
        <v>163</v>
      </c>
      <c r="D20" s="6" t="s">
        <v>118</v>
      </c>
      <c r="E20" s="6" t="s">
        <v>148</v>
      </c>
      <c r="F20" s="6" t="s">
        <v>203</v>
      </c>
      <c r="G20" s="6"/>
      <c r="H20" s="6"/>
      <c r="I20" s="6" t="s">
        <v>204</v>
      </c>
      <c r="J20" s="6" t="s">
        <v>205</v>
      </c>
      <c r="K20" s="6" t="s">
        <v>169</v>
      </c>
      <c r="L20" s="6" t="s">
        <v>206</v>
      </c>
      <c r="M20" s="6" t="s">
        <v>207</v>
      </c>
      <c r="N20" s="14"/>
    </row>
    <row r="21" ht="15.75" customHeight="1">
      <c r="A21" s="6">
        <v>9.0</v>
      </c>
      <c r="B21" s="12">
        <f t="shared" ref="B21:B22" si="9">$C$2+7*(9-1)</f>
        <v>46250</v>
      </c>
      <c r="C21" s="17" t="s">
        <v>163</v>
      </c>
      <c r="D21" s="6" t="s">
        <v>109</v>
      </c>
      <c r="E21" s="6" t="s">
        <v>148</v>
      </c>
      <c r="F21" s="6" t="s">
        <v>209</v>
      </c>
      <c r="G21" s="6"/>
      <c r="H21" s="6"/>
      <c r="I21" s="6" t="s">
        <v>204</v>
      </c>
      <c r="J21" s="6" t="s">
        <v>180</v>
      </c>
      <c r="K21" s="6" t="s">
        <v>169</v>
      </c>
      <c r="L21" s="6" t="s">
        <v>210</v>
      </c>
      <c r="M21" s="6" t="s">
        <v>211</v>
      </c>
      <c r="N21" s="14"/>
    </row>
    <row r="22" ht="15.75" customHeight="1">
      <c r="A22" s="6">
        <v>9.0</v>
      </c>
      <c r="B22" s="12">
        <f t="shared" si="9"/>
        <v>46250</v>
      </c>
      <c r="C22" s="17" t="s">
        <v>163</v>
      </c>
      <c r="D22" s="6" t="s">
        <v>118</v>
      </c>
      <c r="E22" s="6" t="s">
        <v>148</v>
      </c>
      <c r="F22" s="6" t="s">
        <v>213</v>
      </c>
      <c r="G22" s="6"/>
      <c r="H22" s="6"/>
      <c r="I22" s="6" t="s">
        <v>204</v>
      </c>
      <c r="J22" s="6" t="s">
        <v>214</v>
      </c>
      <c r="K22" s="6" t="s">
        <v>169</v>
      </c>
      <c r="L22" s="6" t="s">
        <v>215</v>
      </c>
      <c r="M22" s="6" t="s">
        <v>216</v>
      </c>
      <c r="N22" s="14"/>
    </row>
    <row r="23" ht="15.75" customHeight="1">
      <c r="A23" s="6">
        <v>10.0</v>
      </c>
      <c r="B23" s="12">
        <f t="shared" ref="B23:B24" si="10">$C$2+7*(10-1)</f>
        <v>46257</v>
      </c>
      <c r="C23" s="17" t="s">
        <v>163</v>
      </c>
      <c r="D23" s="6" t="s">
        <v>109</v>
      </c>
      <c r="E23" s="6" t="s">
        <v>148</v>
      </c>
      <c r="F23" s="6" t="s">
        <v>217</v>
      </c>
      <c r="G23" s="6" t="s">
        <v>218</v>
      </c>
      <c r="H23" s="6">
        <v>4.0</v>
      </c>
      <c r="I23" s="6" t="s">
        <v>167</v>
      </c>
      <c r="J23" s="6" t="s">
        <v>219</v>
      </c>
      <c r="K23" s="6" t="s">
        <v>169</v>
      </c>
      <c r="L23" s="6"/>
      <c r="M23" s="6" t="s">
        <v>220</v>
      </c>
      <c r="N23" s="14"/>
    </row>
    <row r="24" ht="15.75" customHeight="1">
      <c r="A24" s="6">
        <v>10.0</v>
      </c>
      <c r="B24" s="12">
        <f t="shared" si="10"/>
        <v>46257</v>
      </c>
      <c r="C24" s="17" t="s">
        <v>163</v>
      </c>
      <c r="D24" s="6" t="s">
        <v>118</v>
      </c>
      <c r="E24" s="6" t="s">
        <v>148</v>
      </c>
      <c r="F24" s="6" t="s">
        <v>222</v>
      </c>
      <c r="G24" s="6" t="s">
        <v>223</v>
      </c>
      <c r="H24" s="6">
        <v>4.0</v>
      </c>
      <c r="I24" s="6" t="s">
        <v>167</v>
      </c>
      <c r="J24" s="6" t="s">
        <v>224</v>
      </c>
      <c r="K24" s="6" t="s">
        <v>169</v>
      </c>
      <c r="L24" s="6" t="s">
        <v>225</v>
      </c>
      <c r="M24" s="6"/>
      <c r="N24" s="14"/>
    </row>
    <row r="25" ht="15.75" customHeight="1">
      <c r="A25" s="6">
        <v>11.0</v>
      </c>
      <c r="B25" s="12">
        <f t="shared" ref="B25:B26" si="11">$C$2+7*(11-1)</f>
        <v>46264</v>
      </c>
      <c r="C25" s="17" t="s">
        <v>163</v>
      </c>
      <c r="D25" s="6" t="s">
        <v>109</v>
      </c>
      <c r="E25" s="6" t="s">
        <v>148</v>
      </c>
      <c r="F25" s="6" t="s">
        <v>226</v>
      </c>
      <c r="G25" s="6" t="s">
        <v>227</v>
      </c>
      <c r="H25" s="6">
        <v>2.0</v>
      </c>
      <c r="I25" s="6" t="s">
        <v>175</v>
      </c>
      <c r="J25" s="6" t="s">
        <v>228</v>
      </c>
      <c r="K25" s="6" t="s">
        <v>169</v>
      </c>
      <c r="L25" s="6"/>
      <c r="M25" s="6" t="s">
        <v>230</v>
      </c>
      <c r="N25" s="14"/>
    </row>
    <row r="26" ht="15.75" customHeight="1">
      <c r="A26" s="6">
        <v>11.0</v>
      </c>
      <c r="B26" s="12">
        <f t="shared" si="11"/>
        <v>46264</v>
      </c>
      <c r="C26" s="17" t="s">
        <v>163</v>
      </c>
      <c r="D26" s="18" t="s">
        <v>236</v>
      </c>
      <c r="E26" s="6" t="s">
        <v>148</v>
      </c>
      <c r="F26" s="6" t="s">
        <v>238</v>
      </c>
      <c r="G26" s="6"/>
      <c r="H26" s="6"/>
      <c r="I26" s="6" t="s">
        <v>204</v>
      </c>
      <c r="J26" s="6" t="s">
        <v>240</v>
      </c>
      <c r="K26" s="6" t="s">
        <v>169</v>
      </c>
      <c r="L26" s="6" t="s">
        <v>242</v>
      </c>
      <c r="M26" s="6" t="s">
        <v>230</v>
      </c>
      <c r="N26" s="14"/>
    </row>
    <row r="27" ht="15.75" customHeight="1">
      <c r="A27" s="6">
        <v>12.0</v>
      </c>
      <c r="B27" s="12">
        <f t="shared" ref="B27:B28" si="12">$C$2+7*(12-1)</f>
        <v>46271</v>
      </c>
      <c r="C27" s="17" t="s">
        <v>163</v>
      </c>
      <c r="D27" s="6" t="s">
        <v>109</v>
      </c>
      <c r="E27" s="6" t="s">
        <v>148</v>
      </c>
      <c r="F27" s="6" t="s">
        <v>245</v>
      </c>
      <c r="G27" s="6" t="s">
        <v>246</v>
      </c>
      <c r="H27" s="6">
        <v>2.0</v>
      </c>
      <c r="I27" s="6" t="s">
        <v>175</v>
      </c>
      <c r="J27" s="6" t="s">
        <v>248</v>
      </c>
      <c r="K27" s="6" t="s">
        <v>169</v>
      </c>
      <c r="L27" s="6"/>
      <c r="M27" s="6" t="s">
        <v>250</v>
      </c>
      <c r="N27" s="14"/>
    </row>
    <row r="28" ht="15.75" customHeight="1">
      <c r="A28" s="6">
        <v>12.0</v>
      </c>
      <c r="B28" s="12">
        <f t="shared" si="12"/>
        <v>46271</v>
      </c>
      <c r="C28" s="17" t="s">
        <v>163</v>
      </c>
      <c r="D28" s="18" t="s">
        <v>236</v>
      </c>
      <c r="E28" s="6" t="s">
        <v>148</v>
      </c>
      <c r="F28" s="6" t="s">
        <v>252</v>
      </c>
      <c r="G28" s="6"/>
      <c r="H28" s="6"/>
      <c r="I28" s="6" t="s">
        <v>204</v>
      </c>
      <c r="J28" s="6" t="s">
        <v>254</v>
      </c>
      <c r="K28" s="6" t="s">
        <v>169</v>
      </c>
      <c r="L28" s="6" t="s">
        <v>257</v>
      </c>
      <c r="M28" s="6" t="s">
        <v>258</v>
      </c>
      <c r="N28" s="14"/>
    </row>
    <row r="29" ht="15.75" customHeight="1">
      <c r="A29" s="6">
        <v>13.0</v>
      </c>
      <c r="B29" s="12">
        <f t="shared" ref="B29:B30" si="13">$C$2+7*(13-1)</f>
        <v>46278</v>
      </c>
      <c r="C29" s="17" t="s">
        <v>163</v>
      </c>
      <c r="D29" s="6" t="s">
        <v>109</v>
      </c>
      <c r="E29" s="6" t="s">
        <v>148</v>
      </c>
      <c r="F29" s="6" t="s">
        <v>260</v>
      </c>
      <c r="G29" s="6" t="s">
        <v>262</v>
      </c>
      <c r="H29" s="6">
        <v>2.0</v>
      </c>
      <c r="I29" s="6" t="s">
        <v>175</v>
      </c>
      <c r="J29" s="6" t="s">
        <v>264</v>
      </c>
      <c r="K29" s="6" t="s">
        <v>169</v>
      </c>
      <c r="L29" s="6"/>
      <c r="M29" s="6" t="s">
        <v>265</v>
      </c>
      <c r="N29" s="14"/>
    </row>
    <row r="30" ht="15.75" customHeight="1">
      <c r="A30" s="6">
        <v>13.0</v>
      </c>
      <c r="B30" s="12">
        <f t="shared" si="13"/>
        <v>46278</v>
      </c>
      <c r="C30" s="17" t="s">
        <v>163</v>
      </c>
      <c r="D30" s="18" t="s">
        <v>236</v>
      </c>
      <c r="E30" s="6" t="s">
        <v>148</v>
      </c>
      <c r="F30" s="6" t="s">
        <v>267</v>
      </c>
      <c r="G30" s="6"/>
      <c r="H30" s="6"/>
      <c r="I30" s="6" t="s">
        <v>204</v>
      </c>
      <c r="J30" s="6" t="s">
        <v>270</v>
      </c>
      <c r="K30" s="6" t="s">
        <v>169</v>
      </c>
      <c r="L30" s="6" t="s">
        <v>257</v>
      </c>
      <c r="M30" s="6"/>
      <c r="N30" s="14"/>
    </row>
    <row r="31" ht="15.75" customHeight="1">
      <c r="A31" s="6">
        <v>14.0</v>
      </c>
      <c r="B31" s="12">
        <f t="shared" ref="B31:B32" si="14">$C$2+7*(14-1)</f>
        <v>46285</v>
      </c>
      <c r="C31" s="17" t="s">
        <v>163</v>
      </c>
      <c r="D31" s="6" t="s">
        <v>109</v>
      </c>
      <c r="E31" s="6" t="s">
        <v>148</v>
      </c>
      <c r="F31" s="6" t="s">
        <v>272</v>
      </c>
      <c r="G31" s="6"/>
      <c r="H31" s="6"/>
      <c r="I31" s="6" t="s">
        <v>204</v>
      </c>
      <c r="J31" s="6" t="s">
        <v>273</v>
      </c>
      <c r="K31" s="6" t="s">
        <v>169</v>
      </c>
      <c r="L31" s="6" t="s">
        <v>274</v>
      </c>
      <c r="M31" s="6" t="s">
        <v>275</v>
      </c>
      <c r="N31" s="14"/>
    </row>
    <row r="32" ht="15.75" customHeight="1">
      <c r="A32" s="6">
        <v>14.0</v>
      </c>
      <c r="B32" s="12">
        <f t="shared" si="14"/>
        <v>46285</v>
      </c>
      <c r="C32" s="17" t="s">
        <v>163</v>
      </c>
      <c r="D32" s="6" t="s">
        <v>118</v>
      </c>
      <c r="E32" s="6" t="s">
        <v>148</v>
      </c>
      <c r="F32" s="19" t="s">
        <v>276</v>
      </c>
      <c r="G32" s="6"/>
      <c r="H32" s="6"/>
      <c r="I32" s="19" t="s">
        <v>280</v>
      </c>
      <c r="J32" s="6" t="s">
        <v>281</v>
      </c>
      <c r="K32" s="6" t="s">
        <v>169</v>
      </c>
      <c r="L32" s="6"/>
      <c r="M32" s="6" t="s">
        <v>282</v>
      </c>
      <c r="N32" s="14"/>
    </row>
    <row r="33" ht="15.75" customHeight="1">
      <c r="A33" s="6">
        <v>15.0</v>
      </c>
      <c r="B33" s="12">
        <f t="shared" ref="B33:B34" si="15">$C$2+7*(15-1)</f>
        <v>46292</v>
      </c>
      <c r="C33" s="17" t="s">
        <v>163</v>
      </c>
      <c r="D33" s="6" t="s">
        <v>109</v>
      </c>
      <c r="E33" s="6" t="s">
        <v>148</v>
      </c>
      <c r="F33" s="20" t="s">
        <v>287</v>
      </c>
      <c r="G33" s="6"/>
      <c r="H33" s="6"/>
      <c r="I33" s="21" t="s">
        <v>288</v>
      </c>
      <c r="J33" s="6" t="s">
        <v>291</v>
      </c>
      <c r="K33" s="6" t="s">
        <v>169</v>
      </c>
      <c r="L33" s="6" t="s">
        <v>293</v>
      </c>
      <c r="M33" s="6" t="s">
        <v>294</v>
      </c>
      <c r="N33" s="14"/>
    </row>
    <row r="34" ht="15.75" customHeight="1">
      <c r="A34" s="6">
        <v>15.0</v>
      </c>
      <c r="B34" s="12">
        <f t="shared" si="15"/>
        <v>46292</v>
      </c>
      <c r="C34" s="17" t="s">
        <v>163</v>
      </c>
      <c r="D34" s="18" t="s">
        <v>236</v>
      </c>
      <c r="E34" s="6" t="s">
        <v>148</v>
      </c>
      <c r="F34" s="6" t="s">
        <v>297</v>
      </c>
      <c r="G34" s="6"/>
      <c r="H34" s="6"/>
      <c r="I34" s="6" t="s">
        <v>204</v>
      </c>
      <c r="J34" s="6" t="s">
        <v>180</v>
      </c>
      <c r="K34" s="6" t="s">
        <v>169</v>
      </c>
      <c r="L34" s="6" t="s">
        <v>257</v>
      </c>
      <c r="M34" s="6" t="s">
        <v>301</v>
      </c>
      <c r="N34" s="14"/>
    </row>
    <row r="35" ht="15.75" customHeight="1">
      <c r="A35" s="6">
        <v>16.0</v>
      </c>
      <c r="B35" s="12">
        <f t="shared" ref="B35:B36" si="16">$C$2+7*(16-1)</f>
        <v>46299</v>
      </c>
      <c r="C35" s="17" t="s">
        <v>163</v>
      </c>
      <c r="D35" s="6" t="s">
        <v>109</v>
      </c>
      <c r="E35" s="6" t="s">
        <v>148</v>
      </c>
      <c r="F35" s="19" t="s">
        <v>304</v>
      </c>
      <c r="G35" s="6"/>
      <c r="H35" s="6"/>
      <c r="I35" s="19" t="s">
        <v>280</v>
      </c>
      <c r="J35" s="6"/>
      <c r="K35" s="6" t="s">
        <v>169</v>
      </c>
      <c r="L35" s="6"/>
      <c r="M35" s="6" t="s">
        <v>307</v>
      </c>
      <c r="N35" s="14"/>
    </row>
    <row r="36" ht="15.75" customHeight="1">
      <c r="A36" s="6">
        <v>16.0</v>
      </c>
      <c r="B36" s="12">
        <f t="shared" si="16"/>
        <v>46299</v>
      </c>
      <c r="C36" s="17" t="s">
        <v>163</v>
      </c>
      <c r="D36" s="6" t="s">
        <v>118</v>
      </c>
      <c r="E36" s="6" t="s">
        <v>148</v>
      </c>
      <c r="F36" s="19" t="s">
        <v>310</v>
      </c>
      <c r="G36" s="6"/>
      <c r="H36" s="6"/>
      <c r="I36" s="19" t="s">
        <v>280</v>
      </c>
      <c r="J36" s="6"/>
      <c r="K36" s="6" t="s">
        <v>169</v>
      </c>
      <c r="L36" s="6"/>
      <c r="M36" s="6" t="s">
        <v>307</v>
      </c>
      <c r="N36" s="14"/>
    </row>
    <row r="37" ht="15.75" customHeight="1">
      <c r="A37" s="6">
        <v>17.0</v>
      </c>
      <c r="B37" s="12">
        <f t="shared" ref="B37:B38" si="17">$C$2+7*(17-1)</f>
        <v>46306</v>
      </c>
      <c r="C37" s="17" t="s">
        <v>163</v>
      </c>
      <c r="D37" s="6" t="s">
        <v>109</v>
      </c>
      <c r="E37" s="6" t="s">
        <v>148</v>
      </c>
      <c r="F37" s="15" t="s">
        <v>317</v>
      </c>
      <c r="G37" s="6"/>
      <c r="H37" s="6"/>
      <c r="I37" s="16" t="s">
        <v>46</v>
      </c>
      <c r="J37" s="6"/>
      <c r="K37" s="6"/>
      <c r="L37" s="6"/>
      <c r="M37" s="6" t="s">
        <v>318</v>
      </c>
      <c r="N37" s="14"/>
    </row>
    <row r="38" ht="15.75" customHeight="1">
      <c r="A38" s="6">
        <v>17.0</v>
      </c>
      <c r="B38" s="12">
        <f t="shared" si="17"/>
        <v>46306</v>
      </c>
      <c r="C38" s="17" t="s">
        <v>163</v>
      </c>
      <c r="D38" s="6" t="s">
        <v>118</v>
      </c>
      <c r="E38" s="6" t="s">
        <v>148</v>
      </c>
      <c r="F38" s="22" t="s">
        <v>322</v>
      </c>
      <c r="G38" s="6"/>
      <c r="H38" s="6"/>
      <c r="I38" s="22" t="s">
        <v>326</v>
      </c>
      <c r="J38" s="6"/>
      <c r="K38" s="6"/>
      <c r="L38" s="6" t="s">
        <v>327</v>
      </c>
      <c r="M38" s="6" t="s">
        <v>318</v>
      </c>
      <c r="N38" s="14"/>
    </row>
    <row r="39" ht="15.75" customHeight="1">
      <c r="A39" s="6">
        <v>18.0</v>
      </c>
      <c r="B39" s="12">
        <f t="shared" ref="B39:B40" si="18">$C$2+7*(18-1)</f>
        <v>46313</v>
      </c>
      <c r="C39" s="17" t="s">
        <v>163</v>
      </c>
      <c r="D39" s="6" t="s">
        <v>109</v>
      </c>
      <c r="E39" s="6" t="s">
        <v>148</v>
      </c>
      <c r="F39" s="15" t="s">
        <v>336</v>
      </c>
      <c r="G39" s="6"/>
      <c r="H39" s="6"/>
      <c r="I39" s="16" t="s">
        <v>46</v>
      </c>
      <c r="J39" s="6"/>
      <c r="K39" s="6"/>
      <c r="L39" s="6" t="s">
        <v>339</v>
      </c>
      <c r="M39" s="6" t="s">
        <v>340</v>
      </c>
      <c r="N39" s="14"/>
    </row>
    <row r="40" ht="15.75" customHeight="1">
      <c r="A40" s="6">
        <v>18.0</v>
      </c>
      <c r="B40" s="12">
        <f t="shared" si="18"/>
        <v>46313</v>
      </c>
      <c r="C40" s="17" t="s">
        <v>163</v>
      </c>
      <c r="D40" s="6" t="s">
        <v>118</v>
      </c>
      <c r="E40" s="6" t="s">
        <v>148</v>
      </c>
      <c r="F40" s="22" t="s">
        <v>342</v>
      </c>
      <c r="G40" s="6"/>
      <c r="H40" s="6"/>
      <c r="I40" s="22" t="s">
        <v>326</v>
      </c>
      <c r="J40" s="6"/>
      <c r="K40" s="6"/>
      <c r="L40" s="6" t="s">
        <v>327</v>
      </c>
      <c r="M40" s="6" t="s">
        <v>340</v>
      </c>
      <c r="N40" s="14"/>
    </row>
    <row r="41" ht="15.75" customHeight="1">
      <c r="A41" s="6">
        <v>19.0</v>
      </c>
      <c r="B41" s="12">
        <f t="shared" ref="B41:B42" si="19">$C$2+7*(19-1)</f>
        <v>46320</v>
      </c>
      <c r="C41" s="23" t="s">
        <v>352</v>
      </c>
      <c r="D41" s="6" t="s">
        <v>109</v>
      </c>
      <c r="E41" s="6" t="s">
        <v>148</v>
      </c>
      <c r="F41" s="6" t="s">
        <v>355</v>
      </c>
      <c r="G41" s="6" t="s">
        <v>357</v>
      </c>
      <c r="H41" s="6">
        <v>2.0</v>
      </c>
      <c r="I41" s="6" t="s">
        <v>175</v>
      </c>
      <c r="J41" s="6" t="s">
        <v>359</v>
      </c>
      <c r="K41" s="6" t="s">
        <v>169</v>
      </c>
      <c r="L41" s="6"/>
      <c r="M41" s="6" t="s">
        <v>361</v>
      </c>
      <c r="N41" s="14"/>
    </row>
    <row r="42" ht="15.75" customHeight="1">
      <c r="A42" s="6">
        <v>19.0</v>
      </c>
      <c r="B42" s="12">
        <f t="shared" si="19"/>
        <v>46320</v>
      </c>
      <c r="C42" s="23" t="s">
        <v>352</v>
      </c>
      <c r="D42" s="18" t="s">
        <v>236</v>
      </c>
      <c r="E42" s="6" t="s">
        <v>148</v>
      </c>
      <c r="F42" s="6" t="s">
        <v>362</v>
      </c>
      <c r="G42" s="6"/>
      <c r="H42" s="6"/>
      <c r="I42" s="6" t="s">
        <v>204</v>
      </c>
      <c r="J42" s="6" t="s">
        <v>365</v>
      </c>
      <c r="K42" s="6" t="s">
        <v>169</v>
      </c>
      <c r="L42" s="6" t="s">
        <v>257</v>
      </c>
      <c r="M42" s="6" t="s">
        <v>369</v>
      </c>
      <c r="N42" s="14"/>
    </row>
    <row r="43" ht="15.75" customHeight="1">
      <c r="A43" s="6">
        <v>20.0</v>
      </c>
      <c r="B43" s="12">
        <f t="shared" ref="B43:B44" si="20">$C$2+7*(20-1)</f>
        <v>46327</v>
      </c>
      <c r="C43" s="23" t="s">
        <v>352</v>
      </c>
      <c r="D43" s="6" t="s">
        <v>109</v>
      </c>
      <c r="E43" s="6" t="s">
        <v>148</v>
      </c>
      <c r="F43" s="6" t="s">
        <v>372</v>
      </c>
      <c r="G43" s="6" t="s">
        <v>373</v>
      </c>
      <c r="H43" s="6">
        <v>4.0</v>
      </c>
      <c r="I43" s="6" t="s">
        <v>167</v>
      </c>
      <c r="J43" s="6" t="s">
        <v>377</v>
      </c>
      <c r="K43" s="6" t="s">
        <v>169</v>
      </c>
      <c r="L43" s="6" t="s">
        <v>379</v>
      </c>
      <c r="M43" s="6" t="s">
        <v>381</v>
      </c>
      <c r="N43" s="14"/>
    </row>
    <row r="44" ht="15.75" customHeight="1">
      <c r="A44" s="6">
        <v>20.0</v>
      </c>
      <c r="B44" s="12">
        <f t="shared" si="20"/>
        <v>46327</v>
      </c>
      <c r="C44" s="23" t="s">
        <v>352</v>
      </c>
      <c r="D44" s="6" t="s">
        <v>118</v>
      </c>
      <c r="E44" s="6" t="s">
        <v>148</v>
      </c>
      <c r="F44" s="6" t="s">
        <v>384</v>
      </c>
      <c r="G44" s="6"/>
      <c r="H44" s="6"/>
      <c r="I44" s="6" t="s">
        <v>204</v>
      </c>
      <c r="J44" s="6" t="s">
        <v>387</v>
      </c>
      <c r="K44" s="6" t="s">
        <v>169</v>
      </c>
      <c r="L44" s="6"/>
      <c r="M44" s="6" t="s">
        <v>390</v>
      </c>
      <c r="N44" s="14"/>
    </row>
    <row r="45" ht="15.75" customHeight="1">
      <c r="A45" s="6">
        <v>21.0</v>
      </c>
      <c r="B45" s="12">
        <f t="shared" ref="B45:B46" si="21">$C$2+7*(21-1)</f>
        <v>46334</v>
      </c>
      <c r="C45" s="23" t="s">
        <v>352</v>
      </c>
      <c r="D45" s="6" t="s">
        <v>109</v>
      </c>
      <c r="E45" s="6" t="s">
        <v>148</v>
      </c>
      <c r="F45" s="6" t="s">
        <v>393</v>
      </c>
      <c r="G45" s="6" t="s">
        <v>395</v>
      </c>
      <c r="H45" s="6">
        <v>3.0</v>
      </c>
      <c r="I45" s="6" t="s">
        <v>167</v>
      </c>
      <c r="J45" s="6"/>
      <c r="K45" s="6" t="s">
        <v>169</v>
      </c>
      <c r="L45" s="6"/>
      <c r="M45" s="6" t="s">
        <v>398</v>
      </c>
      <c r="N45" s="14"/>
    </row>
    <row r="46" ht="15.75" customHeight="1">
      <c r="A46" s="6">
        <v>21.0</v>
      </c>
      <c r="B46" s="12">
        <f t="shared" si="21"/>
        <v>46334</v>
      </c>
      <c r="C46" s="23" t="s">
        <v>352</v>
      </c>
      <c r="D46" s="18" t="s">
        <v>236</v>
      </c>
      <c r="E46" s="6" t="s">
        <v>148</v>
      </c>
      <c r="F46" s="6" t="s">
        <v>403</v>
      </c>
      <c r="G46" s="6"/>
      <c r="H46" s="6"/>
      <c r="I46" s="6" t="s">
        <v>204</v>
      </c>
      <c r="J46" s="6" t="s">
        <v>406</v>
      </c>
      <c r="K46" s="6" t="s">
        <v>169</v>
      </c>
      <c r="L46" s="6" t="s">
        <v>257</v>
      </c>
      <c r="M46" s="6" t="s">
        <v>409</v>
      </c>
      <c r="N46" s="14"/>
    </row>
    <row r="47" ht="15.75" customHeight="1">
      <c r="A47" s="6">
        <v>22.0</v>
      </c>
      <c r="B47" s="12">
        <f t="shared" ref="B47:B48" si="22">$C$2+7*(22-1)</f>
        <v>46341</v>
      </c>
      <c r="C47" s="23" t="s">
        <v>352</v>
      </c>
      <c r="D47" s="6" t="s">
        <v>109</v>
      </c>
      <c r="E47" s="6" t="s">
        <v>148</v>
      </c>
      <c r="F47" s="6" t="s">
        <v>412</v>
      </c>
      <c r="G47" s="6"/>
      <c r="H47" s="6"/>
      <c r="I47" s="6" t="s">
        <v>204</v>
      </c>
      <c r="J47" s="6" t="s">
        <v>413</v>
      </c>
      <c r="K47" s="6" t="s">
        <v>169</v>
      </c>
      <c r="L47" s="6" t="s">
        <v>414</v>
      </c>
      <c r="M47" s="6" t="s">
        <v>415</v>
      </c>
      <c r="N47" s="14"/>
    </row>
    <row r="48" ht="15.75" customHeight="1">
      <c r="A48" s="6">
        <v>22.0</v>
      </c>
      <c r="B48" s="12">
        <f t="shared" si="22"/>
        <v>46341</v>
      </c>
      <c r="C48" s="23" t="s">
        <v>352</v>
      </c>
      <c r="D48" s="6" t="s">
        <v>118</v>
      </c>
      <c r="E48" s="6" t="s">
        <v>148</v>
      </c>
      <c r="F48" s="19" t="s">
        <v>418</v>
      </c>
      <c r="G48" s="6"/>
      <c r="H48" s="6"/>
      <c r="I48" s="19" t="s">
        <v>280</v>
      </c>
      <c r="J48" s="6"/>
      <c r="K48" s="6" t="s">
        <v>169</v>
      </c>
      <c r="L48" s="6" t="s">
        <v>419</v>
      </c>
      <c r="M48" s="6" t="s">
        <v>420</v>
      </c>
      <c r="N48" s="14"/>
    </row>
    <row r="49" ht="15.75" customHeight="1">
      <c r="A49" s="6">
        <v>23.0</v>
      </c>
      <c r="B49" s="12">
        <f t="shared" ref="B49:B50" si="23">$C$2+7*(23-1)</f>
        <v>46348</v>
      </c>
      <c r="C49" s="23" t="s">
        <v>352</v>
      </c>
      <c r="D49" s="6" t="s">
        <v>109</v>
      </c>
      <c r="E49" s="6" t="s">
        <v>148</v>
      </c>
      <c r="F49" s="6" t="s">
        <v>424</v>
      </c>
      <c r="G49" s="6"/>
      <c r="H49" s="6"/>
      <c r="I49" s="6" t="s">
        <v>204</v>
      </c>
      <c r="J49" s="6" t="s">
        <v>425</v>
      </c>
      <c r="K49" s="6" t="s">
        <v>169</v>
      </c>
      <c r="L49" s="6" t="s">
        <v>349</v>
      </c>
      <c r="M49" s="6" t="s">
        <v>427</v>
      </c>
      <c r="N49" s="14"/>
    </row>
    <row r="50" ht="15.75" customHeight="1">
      <c r="A50" s="6">
        <v>23.0</v>
      </c>
      <c r="B50" s="12">
        <f t="shared" si="23"/>
        <v>46348</v>
      </c>
      <c r="C50" s="23" t="s">
        <v>352</v>
      </c>
      <c r="D50" s="18" t="s">
        <v>236</v>
      </c>
      <c r="E50" s="6" t="s">
        <v>148</v>
      </c>
      <c r="F50" s="20" t="s">
        <v>431</v>
      </c>
      <c r="G50" s="6"/>
      <c r="H50" s="6"/>
      <c r="I50" s="21" t="s">
        <v>288</v>
      </c>
      <c r="J50" s="6" t="s">
        <v>434</v>
      </c>
      <c r="K50" s="6" t="s">
        <v>169</v>
      </c>
      <c r="L50" s="6" t="s">
        <v>435</v>
      </c>
      <c r="M50" s="6" t="s">
        <v>436</v>
      </c>
      <c r="N50" s="14"/>
    </row>
    <row r="51" ht="15.75" customHeight="1">
      <c r="A51" s="6">
        <v>24.0</v>
      </c>
      <c r="B51" s="12">
        <f t="shared" ref="B51:B52" si="24">$C$2+7*(24-1)</f>
        <v>46355</v>
      </c>
      <c r="C51" s="23" t="s">
        <v>352</v>
      </c>
      <c r="D51" s="6" t="s">
        <v>109</v>
      </c>
      <c r="E51" s="6" t="s">
        <v>148</v>
      </c>
      <c r="F51" s="19" t="s">
        <v>441</v>
      </c>
      <c r="G51" s="6"/>
      <c r="H51" s="6"/>
      <c r="I51" s="19" t="s">
        <v>280</v>
      </c>
      <c r="J51" s="6"/>
      <c r="K51" s="6" t="s">
        <v>169</v>
      </c>
      <c r="L51" s="6"/>
      <c r="M51" s="6" t="s">
        <v>444</v>
      </c>
      <c r="N51" s="14"/>
    </row>
    <row r="52" ht="15.75" customHeight="1">
      <c r="A52" s="6">
        <v>24.0</v>
      </c>
      <c r="B52" s="12">
        <f t="shared" si="24"/>
        <v>46355</v>
      </c>
      <c r="C52" s="23" t="s">
        <v>352</v>
      </c>
      <c r="D52" s="6" t="s">
        <v>118</v>
      </c>
      <c r="E52" s="6" t="s">
        <v>148</v>
      </c>
      <c r="F52" s="19" t="s">
        <v>447</v>
      </c>
      <c r="G52" s="6"/>
      <c r="H52" s="6"/>
      <c r="I52" s="19" t="s">
        <v>280</v>
      </c>
      <c r="J52" s="6"/>
      <c r="K52" s="6" t="s">
        <v>169</v>
      </c>
      <c r="L52" s="6"/>
      <c r="M52" s="6" t="s">
        <v>444</v>
      </c>
      <c r="N52" s="14"/>
    </row>
    <row r="53" ht="15.75" customHeight="1">
      <c r="A53" s="6">
        <v>25.0</v>
      </c>
      <c r="B53" s="12">
        <f t="shared" ref="B53:B54" si="25">$C$2+7*(25-1)</f>
        <v>46362</v>
      </c>
      <c r="C53" s="23" t="s">
        <v>352</v>
      </c>
      <c r="D53" s="6" t="s">
        <v>109</v>
      </c>
      <c r="E53" s="6" t="s">
        <v>148</v>
      </c>
      <c r="F53" s="15" t="s">
        <v>455</v>
      </c>
      <c r="G53" s="6"/>
      <c r="H53" s="6"/>
      <c r="I53" s="16" t="s">
        <v>46</v>
      </c>
      <c r="J53" s="6"/>
      <c r="K53" s="6"/>
      <c r="L53" s="6"/>
      <c r="M53" s="6" t="s">
        <v>459</v>
      </c>
      <c r="N53" s="14"/>
    </row>
    <row r="54" ht="15.75" customHeight="1">
      <c r="A54" s="6">
        <v>25.0</v>
      </c>
      <c r="B54" s="12">
        <f t="shared" si="25"/>
        <v>46362</v>
      </c>
      <c r="C54" s="23" t="s">
        <v>352</v>
      </c>
      <c r="D54" s="6" t="s">
        <v>118</v>
      </c>
      <c r="E54" s="6" t="s">
        <v>148</v>
      </c>
      <c r="F54" s="22" t="s">
        <v>322</v>
      </c>
      <c r="G54" s="6"/>
      <c r="H54" s="6"/>
      <c r="I54" s="22" t="s">
        <v>326</v>
      </c>
      <c r="J54" s="6"/>
      <c r="K54" s="6"/>
      <c r="L54" s="6" t="s">
        <v>327</v>
      </c>
      <c r="M54" s="6" t="s">
        <v>459</v>
      </c>
      <c r="N54" s="14"/>
    </row>
    <row r="55" ht="15.75" customHeight="1">
      <c r="A55" s="6">
        <v>26.0</v>
      </c>
      <c r="B55" s="12">
        <f t="shared" ref="B55:B56" si="26">$C$2+7*(26-1)</f>
        <v>46369</v>
      </c>
      <c r="C55" s="23" t="s">
        <v>352</v>
      </c>
      <c r="D55" s="6" t="s">
        <v>109</v>
      </c>
      <c r="E55" s="6" t="s">
        <v>148</v>
      </c>
      <c r="F55" s="15" t="s">
        <v>476</v>
      </c>
      <c r="G55" s="6"/>
      <c r="H55" s="6"/>
      <c r="I55" s="16" t="s">
        <v>46</v>
      </c>
      <c r="J55" s="6"/>
      <c r="K55" s="6"/>
      <c r="L55" s="6" t="s">
        <v>339</v>
      </c>
      <c r="M55" s="6" t="s">
        <v>478</v>
      </c>
      <c r="N55" s="14"/>
    </row>
    <row r="56" ht="15.75" customHeight="1">
      <c r="A56" s="6">
        <v>26.0</v>
      </c>
      <c r="B56" s="12">
        <f t="shared" si="26"/>
        <v>46369</v>
      </c>
      <c r="C56" s="23" t="s">
        <v>352</v>
      </c>
      <c r="D56" s="6" t="s">
        <v>118</v>
      </c>
      <c r="E56" s="6" t="s">
        <v>148</v>
      </c>
      <c r="F56" s="22" t="s">
        <v>342</v>
      </c>
      <c r="G56" s="6"/>
      <c r="H56" s="6"/>
      <c r="I56" s="22" t="s">
        <v>326</v>
      </c>
      <c r="J56" s="6"/>
      <c r="K56" s="6"/>
      <c r="L56" s="6" t="s">
        <v>327</v>
      </c>
      <c r="M56" s="6" t="s">
        <v>478</v>
      </c>
      <c r="N56" s="14"/>
    </row>
    <row r="57" ht="15.75" customHeight="1">
      <c r="A57" s="6">
        <v>27.0</v>
      </c>
      <c r="B57" s="12">
        <f t="shared" ref="B57:B58" si="27">$C$2+7*(27-1)</f>
        <v>46376</v>
      </c>
      <c r="C57" s="23" t="s">
        <v>352</v>
      </c>
      <c r="D57" s="6" t="s">
        <v>109</v>
      </c>
      <c r="E57" s="6" t="s">
        <v>148</v>
      </c>
      <c r="F57" s="19" t="s">
        <v>492</v>
      </c>
      <c r="G57" s="6"/>
      <c r="H57" s="6"/>
      <c r="I57" s="19" t="s">
        <v>280</v>
      </c>
      <c r="J57" s="6"/>
      <c r="K57" s="6" t="s">
        <v>169</v>
      </c>
      <c r="L57" s="6"/>
      <c r="M57" s="6" t="s">
        <v>497</v>
      </c>
      <c r="N57" s="14"/>
    </row>
    <row r="58" ht="15.75" customHeight="1">
      <c r="A58" s="6">
        <v>27.0</v>
      </c>
      <c r="B58" s="12">
        <f t="shared" si="27"/>
        <v>46376</v>
      </c>
      <c r="C58" s="23" t="s">
        <v>352</v>
      </c>
      <c r="D58" s="6" t="s">
        <v>118</v>
      </c>
      <c r="E58" s="6" t="s">
        <v>148</v>
      </c>
      <c r="F58" s="19" t="s">
        <v>501</v>
      </c>
      <c r="G58" s="6"/>
      <c r="H58" s="6"/>
      <c r="I58" s="19" t="s">
        <v>280</v>
      </c>
      <c r="J58" s="6"/>
      <c r="K58" s="6" t="s">
        <v>169</v>
      </c>
      <c r="L58" s="6"/>
      <c r="M58" s="6" t="s">
        <v>497</v>
      </c>
      <c r="N58" s="14"/>
    </row>
    <row r="59" ht="15.75" customHeight="1">
      <c r="A59" s="6">
        <v>28.0</v>
      </c>
      <c r="B59" s="12">
        <f t="shared" ref="B59:B60" si="28">$C$2+7*(28-1)</f>
        <v>46383</v>
      </c>
      <c r="C59" s="24" t="s">
        <v>511</v>
      </c>
      <c r="D59" s="6" t="s">
        <v>109</v>
      </c>
      <c r="E59" s="6" t="s">
        <v>148</v>
      </c>
      <c r="F59" s="6" t="s">
        <v>518</v>
      </c>
      <c r="G59" s="6" t="s">
        <v>519</v>
      </c>
      <c r="H59" s="6">
        <v>2.0</v>
      </c>
      <c r="I59" s="6" t="s">
        <v>175</v>
      </c>
      <c r="J59" s="6"/>
      <c r="K59" s="6" t="s">
        <v>169</v>
      </c>
      <c r="L59" s="6"/>
      <c r="M59" s="6" t="s">
        <v>520</v>
      </c>
      <c r="N59" s="14"/>
    </row>
    <row r="60" ht="15.75" customHeight="1">
      <c r="A60" s="6">
        <v>28.0</v>
      </c>
      <c r="B60" s="12">
        <f t="shared" si="28"/>
        <v>46383</v>
      </c>
      <c r="C60" s="24" t="s">
        <v>511</v>
      </c>
      <c r="D60" s="6" t="s">
        <v>118</v>
      </c>
      <c r="E60" s="6" t="s">
        <v>148</v>
      </c>
      <c r="F60" s="6" t="s">
        <v>525</v>
      </c>
      <c r="G60" s="6" t="s">
        <v>527</v>
      </c>
      <c r="H60" s="6">
        <v>5.0</v>
      </c>
      <c r="I60" s="6" t="s">
        <v>167</v>
      </c>
      <c r="J60" s="6"/>
      <c r="K60" s="6" t="s">
        <v>169</v>
      </c>
      <c r="L60" s="6" t="s">
        <v>531</v>
      </c>
      <c r="M60" s="6" t="s">
        <v>532</v>
      </c>
      <c r="N60" s="14"/>
    </row>
    <row r="61" ht="15.75" customHeight="1">
      <c r="A61" s="6">
        <v>29.0</v>
      </c>
      <c r="B61" s="12">
        <f t="shared" ref="B61:B62" si="29">$C$2+7*(29-1)</f>
        <v>46390</v>
      </c>
      <c r="C61" s="24" t="s">
        <v>511</v>
      </c>
      <c r="D61" s="6" t="s">
        <v>109</v>
      </c>
      <c r="E61" s="6" t="s">
        <v>148</v>
      </c>
      <c r="F61" s="6" t="s">
        <v>539</v>
      </c>
      <c r="G61" s="6" t="s">
        <v>540</v>
      </c>
      <c r="H61" s="6">
        <v>2.0</v>
      </c>
      <c r="I61" s="6" t="s">
        <v>175</v>
      </c>
      <c r="J61" s="6" t="s">
        <v>541</v>
      </c>
      <c r="K61" s="6" t="s">
        <v>169</v>
      </c>
      <c r="L61" s="6"/>
      <c r="M61" s="6" t="s">
        <v>544</v>
      </c>
      <c r="N61" s="14"/>
    </row>
    <row r="62" ht="15.75" customHeight="1">
      <c r="A62" s="6">
        <v>29.0</v>
      </c>
      <c r="B62" s="12">
        <f t="shared" si="29"/>
        <v>46390</v>
      </c>
      <c r="C62" s="24" t="s">
        <v>511</v>
      </c>
      <c r="D62" s="6" t="s">
        <v>118</v>
      </c>
      <c r="E62" s="6" t="s">
        <v>148</v>
      </c>
      <c r="F62" s="6" t="s">
        <v>546</v>
      </c>
      <c r="G62" s="6" t="s">
        <v>551</v>
      </c>
      <c r="H62" s="6">
        <v>3.0</v>
      </c>
      <c r="I62" s="6" t="s">
        <v>167</v>
      </c>
      <c r="J62" s="6"/>
      <c r="K62" s="6" t="s">
        <v>169</v>
      </c>
      <c r="L62" s="6" t="s">
        <v>553</v>
      </c>
      <c r="M62" s="6"/>
      <c r="N62" s="14"/>
    </row>
    <row r="63" ht="15.75" customHeight="1">
      <c r="A63" s="6">
        <v>30.0</v>
      </c>
      <c r="B63" s="12">
        <f t="shared" ref="B63:B64" si="30">$C$2+7*(30-1)</f>
        <v>46397</v>
      </c>
      <c r="C63" s="24" t="s">
        <v>511</v>
      </c>
      <c r="D63" s="6" t="s">
        <v>109</v>
      </c>
      <c r="E63" s="6" t="s">
        <v>148</v>
      </c>
      <c r="F63" s="6" t="s">
        <v>561</v>
      </c>
      <c r="G63" s="6" t="s">
        <v>562</v>
      </c>
      <c r="H63" s="6">
        <v>2.0</v>
      </c>
      <c r="I63" s="6" t="s">
        <v>175</v>
      </c>
      <c r="J63" s="6"/>
      <c r="K63" s="6" t="s">
        <v>169</v>
      </c>
      <c r="L63" s="6"/>
      <c r="M63" s="6"/>
      <c r="N63" s="14"/>
    </row>
    <row r="64" ht="15.75" customHeight="1">
      <c r="A64" s="6">
        <v>30.0</v>
      </c>
      <c r="B64" s="12">
        <f t="shared" si="30"/>
        <v>46397</v>
      </c>
      <c r="C64" s="24" t="s">
        <v>511</v>
      </c>
      <c r="D64" s="18" t="s">
        <v>236</v>
      </c>
      <c r="E64" s="6" t="s">
        <v>148</v>
      </c>
      <c r="F64" s="6" t="s">
        <v>564</v>
      </c>
      <c r="G64" s="6"/>
      <c r="H64" s="6"/>
      <c r="I64" s="6" t="s">
        <v>204</v>
      </c>
      <c r="J64" s="6"/>
      <c r="K64" s="6" t="s">
        <v>169</v>
      </c>
      <c r="L64" s="6" t="s">
        <v>566</v>
      </c>
      <c r="M64" s="6" t="s">
        <v>568</v>
      </c>
      <c r="N64" s="14"/>
    </row>
    <row r="65" ht="15.75" customHeight="1">
      <c r="A65" s="6">
        <v>31.0</v>
      </c>
      <c r="B65" s="12">
        <f t="shared" ref="B65:B66" si="31">$C$2+7*(31-1)</f>
        <v>46404</v>
      </c>
      <c r="C65" s="24" t="s">
        <v>511</v>
      </c>
      <c r="D65" s="6" t="s">
        <v>109</v>
      </c>
      <c r="E65" s="6" t="s">
        <v>148</v>
      </c>
      <c r="F65" s="6" t="s">
        <v>579</v>
      </c>
      <c r="G65" s="6" t="s">
        <v>581</v>
      </c>
      <c r="H65" s="6">
        <v>2.0</v>
      </c>
      <c r="I65" s="6" t="s">
        <v>175</v>
      </c>
      <c r="J65" s="6"/>
      <c r="K65" s="6" t="s">
        <v>169</v>
      </c>
      <c r="L65" s="6"/>
      <c r="M65" s="6" t="s">
        <v>583</v>
      </c>
      <c r="N65" s="14"/>
    </row>
    <row r="66" ht="15.75" customHeight="1">
      <c r="A66" s="6">
        <v>31.0</v>
      </c>
      <c r="B66" s="12">
        <f t="shared" si="31"/>
        <v>46404</v>
      </c>
      <c r="C66" s="24" t="s">
        <v>511</v>
      </c>
      <c r="D66" s="18" t="s">
        <v>236</v>
      </c>
      <c r="E66" s="6" t="s">
        <v>148</v>
      </c>
      <c r="F66" s="6" t="s">
        <v>585</v>
      </c>
      <c r="G66" s="6" t="s">
        <v>586</v>
      </c>
      <c r="H66" s="6">
        <v>3.0</v>
      </c>
      <c r="I66" s="6" t="s">
        <v>167</v>
      </c>
      <c r="J66" s="6"/>
      <c r="K66" s="6" t="s">
        <v>169</v>
      </c>
      <c r="L66" s="6" t="s">
        <v>257</v>
      </c>
      <c r="M66" s="6"/>
      <c r="N66" s="14"/>
    </row>
    <row r="67" ht="15.75" customHeight="1">
      <c r="A67" s="6">
        <v>32.0</v>
      </c>
      <c r="B67" s="12">
        <f t="shared" ref="B67:B68" si="32">$C$2+7*(32-1)</f>
        <v>46411</v>
      </c>
      <c r="C67" s="24" t="s">
        <v>511</v>
      </c>
      <c r="D67" s="6" t="s">
        <v>109</v>
      </c>
      <c r="E67" s="6" t="s">
        <v>148</v>
      </c>
      <c r="F67" s="6" t="s">
        <v>596</v>
      </c>
      <c r="G67" s="6" t="s">
        <v>597</v>
      </c>
      <c r="H67" s="6">
        <v>1.0</v>
      </c>
      <c r="I67" s="6" t="s">
        <v>175</v>
      </c>
      <c r="J67" s="6"/>
      <c r="K67" s="6" t="s">
        <v>169</v>
      </c>
      <c r="L67" s="6" t="s">
        <v>600</v>
      </c>
      <c r="M67" s="6" t="s">
        <v>601</v>
      </c>
      <c r="N67" s="14"/>
    </row>
    <row r="68" ht="15.75" customHeight="1">
      <c r="A68" s="6">
        <v>32.0</v>
      </c>
      <c r="B68" s="12">
        <f t="shared" si="32"/>
        <v>46411</v>
      </c>
      <c r="C68" s="24" t="s">
        <v>511</v>
      </c>
      <c r="D68" s="18" t="s">
        <v>236</v>
      </c>
      <c r="E68" s="6" t="s">
        <v>148</v>
      </c>
      <c r="F68" s="6" t="s">
        <v>603</v>
      </c>
      <c r="G68" s="6"/>
      <c r="H68" s="6"/>
      <c r="I68" s="6" t="s">
        <v>204</v>
      </c>
      <c r="J68" s="6"/>
      <c r="K68" s="6" t="s">
        <v>169</v>
      </c>
      <c r="L68" s="6" t="s">
        <v>605</v>
      </c>
      <c r="M68" s="6"/>
      <c r="N68" s="14"/>
    </row>
    <row r="69" ht="15.75" customHeight="1">
      <c r="A69" s="6">
        <v>33.0</v>
      </c>
      <c r="B69" s="12">
        <f t="shared" ref="B69:B70" si="33">$C$2+7*(33-1)</f>
        <v>46418</v>
      </c>
      <c r="C69" s="24" t="s">
        <v>511</v>
      </c>
      <c r="D69" s="6" t="s">
        <v>109</v>
      </c>
      <c r="E69" s="6" t="s">
        <v>148</v>
      </c>
      <c r="F69" s="6" t="s">
        <v>609</v>
      </c>
      <c r="G69" s="6" t="s">
        <v>610</v>
      </c>
      <c r="H69" s="6">
        <v>5.0</v>
      </c>
      <c r="I69" s="6" t="s">
        <v>167</v>
      </c>
      <c r="J69" s="6"/>
      <c r="K69" s="6" t="s">
        <v>169</v>
      </c>
      <c r="L69" s="6" t="s">
        <v>613</v>
      </c>
      <c r="M69" s="6"/>
      <c r="N69" s="14"/>
    </row>
    <row r="70" ht="15.75" customHeight="1">
      <c r="A70" s="6">
        <v>33.0</v>
      </c>
      <c r="B70" s="12">
        <f t="shared" si="33"/>
        <v>46418</v>
      </c>
      <c r="C70" s="24" t="s">
        <v>511</v>
      </c>
      <c r="D70" s="6" t="s">
        <v>118</v>
      </c>
      <c r="E70" s="6" t="s">
        <v>148</v>
      </c>
      <c r="F70" s="6" t="s">
        <v>617</v>
      </c>
      <c r="G70" s="6" t="s">
        <v>619</v>
      </c>
      <c r="H70" s="6">
        <v>4.0</v>
      </c>
      <c r="I70" s="6" t="s">
        <v>167</v>
      </c>
      <c r="J70" s="6"/>
      <c r="K70" s="6" t="s">
        <v>169</v>
      </c>
      <c r="L70" s="6" t="s">
        <v>622</v>
      </c>
      <c r="M70" s="6"/>
      <c r="N70" s="14"/>
    </row>
    <row r="71" ht="15.75" customHeight="1">
      <c r="A71" s="6">
        <v>34.0</v>
      </c>
      <c r="B71" s="12">
        <f>$C$2+7*(34-1)</f>
        <v>46425</v>
      </c>
      <c r="C71" s="24" t="s">
        <v>511</v>
      </c>
      <c r="D71" s="6" t="s">
        <v>156</v>
      </c>
      <c r="E71" s="6"/>
      <c r="F71" s="25" t="s">
        <v>626</v>
      </c>
      <c r="G71" s="6"/>
      <c r="H71" s="6"/>
      <c r="I71" s="25" t="s">
        <v>630</v>
      </c>
      <c r="J71" s="6"/>
      <c r="K71" s="6"/>
      <c r="L71" s="6" t="s">
        <v>632</v>
      </c>
      <c r="M71" s="6"/>
      <c r="N71" s="14"/>
    </row>
    <row r="72" ht="15.75" customHeight="1">
      <c r="A72" s="6">
        <v>35.0</v>
      </c>
      <c r="B72" s="12">
        <f t="shared" ref="B72:B73" si="34">$C$2+7*(35-1)</f>
        <v>46432</v>
      </c>
      <c r="C72" s="24" t="s">
        <v>511</v>
      </c>
      <c r="D72" s="6" t="s">
        <v>109</v>
      </c>
      <c r="E72" s="6" t="s">
        <v>148</v>
      </c>
      <c r="F72" s="19" t="s">
        <v>639</v>
      </c>
      <c r="G72" s="6"/>
      <c r="H72" s="6"/>
      <c r="I72" s="19" t="s">
        <v>280</v>
      </c>
      <c r="J72" s="6"/>
      <c r="K72" s="6" t="s">
        <v>169</v>
      </c>
      <c r="L72" s="6"/>
      <c r="M72" s="6" t="s">
        <v>641</v>
      </c>
      <c r="N72" s="14"/>
    </row>
    <row r="73" ht="15.75" customHeight="1">
      <c r="A73" s="6">
        <v>35.0</v>
      </c>
      <c r="B73" s="12">
        <f t="shared" si="34"/>
        <v>46432</v>
      </c>
      <c r="C73" s="24" t="s">
        <v>511</v>
      </c>
      <c r="D73" s="18" t="s">
        <v>236</v>
      </c>
      <c r="E73" s="6" t="s">
        <v>148</v>
      </c>
      <c r="F73" s="20" t="s">
        <v>643</v>
      </c>
      <c r="G73" s="6"/>
      <c r="H73" s="6"/>
      <c r="I73" s="21" t="s">
        <v>288</v>
      </c>
      <c r="J73" s="6" t="s">
        <v>647</v>
      </c>
      <c r="K73" s="6" t="s">
        <v>169</v>
      </c>
      <c r="L73" s="6" t="s">
        <v>649</v>
      </c>
      <c r="M73" s="6" t="s">
        <v>650</v>
      </c>
      <c r="N73" s="14"/>
    </row>
    <row r="74" ht="15.75" customHeight="1">
      <c r="A74" s="6">
        <v>36.0</v>
      </c>
      <c r="B74" s="12">
        <f t="shared" ref="B74:B75" si="35">$C$2+7*(36-1)</f>
        <v>46439</v>
      </c>
      <c r="C74" s="24" t="s">
        <v>511</v>
      </c>
      <c r="D74" s="6" t="s">
        <v>109</v>
      </c>
      <c r="E74" s="6" t="s">
        <v>148</v>
      </c>
      <c r="F74" s="15" t="s">
        <v>657</v>
      </c>
      <c r="G74" s="6"/>
      <c r="H74" s="6"/>
      <c r="I74" s="16" t="s">
        <v>46</v>
      </c>
      <c r="J74" s="6"/>
      <c r="K74" s="6"/>
      <c r="L74" s="6"/>
      <c r="M74" s="6" t="s">
        <v>660</v>
      </c>
      <c r="N74" s="14"/>
    </row>
    <row r="75" ht="15.75" customHeight="1">
      <c r="A75" s="6">
        <v>36.0</v>
      </c>
      <c r="B75" s="12">
        <f t="shared" si="35"/>
        <v>46439</v>
      </c>
      <c r="C75" s="24" t="s">
        <v>511</v>
      </c>
      <c r="D75" s="6" t="s">
        <v>118</v>
      </c>
      <c r="E75" s="6" t="s">
        <v>148</v>
      </c>
      <c r="F75" s="22" t="s">
        <v>322</v>
      </c>
      <c r="G75" s="6"/>
      <c r="H75" s="6"/>
      <c r="I75" s="22" t="s">
        <v>326</v>
      </c>
      <c r="J75" s="6"/>
      <c r="K75" s="6"/>
      <c r="L75" s="6" t="s">
        <v>327</v>
      </c>
      <c r="M75" s="6" t="s">
        <v>665</v>
      </c>
      <c r="N75" s="14"/>
    </row>
    <row r="76" ht="15.75" customHeight="1">
      <c r="A76" s="6">
        <v>37.0</v>
      </c>
      <c r="B76" s="12">
        <f t="shared" ref="B76:B77" si="36">$C$2+7*(37-1)</f>
        <v>46446</v>
      </c>
      <c r="C76" s="24" t="s">
        <v>511</v>
      </c>
      <c r="D76" s="6" t="s">
        <v>109</v>
      </c>
      <c r="E76" s="6" t="s">
        <v>148</v>
      </c>
      <c r="F76" s="15" t="s">
        <v>674</v>
      </c>
      <c r="G76" s="6"/>
      <c r="H76" s="6"/>
      <c r="I76" s="16" t="s">
        <v>46</v>
      </c>
      <c r="J76" s="6"/>
      <c r="K76" s="6"/>
      <c r="L76" s="6" t="s">
        <v>339</v>
      </c>
      <c r="M76" s="6" t="s">
        <v>677</v>
      </c>
      <c r="N76" s="14"/>
    </row>
    <row r="77" ht="15.75" customHeight="1">
      <c r="A77" s="6">
        <v>37.0</v>
      </c>
      <c r="B77" s="12">
        <f t="shared" si="36"/>
        <v>46446</v>
      </c>
      <c r="C77" s="24" t="s">
        <v>511</v>
      </c>
      <c r="D77" s="6" t="s">
        <v>118</v>
      </c>
      <c r="E77" s="6" t="s">
        <v>148</v>
      </c>
      <c r="F77" s="22" t="s">
        <v>342</v>
      </c>
      <c r="G77" s="6"/>
      <c r="H77" s="6"/>
      <c r="I77" s="22" t="s">
        <v>326</v>
      </c>
      <c r="J77" s="6"/>
      <c r="K77" s="6"/>
      <c r="L77" s="6" t="s">
        <v>327</v>
      </c>
      <c r="M77" s="6" t="s">
        <v>683</v>
      </c>
      <c r="N77" s="14"/>
    </row>
    <row r="78" ht="15.75" customHeight="1">
      <c r="A78" s="6">
        <v>38.0</v>
      </c>
      <c r="B78" s="12">
        <f t="shared" ref="B78:B79" si="37">$C$2+7*(38-1)</f>
        <v>46453</v>
      </c>
      <c r="C78" s="26" t="s">
        <v>693</v>
      </c>
      <c r="D78" s="6" t="s">
        <v>109</v>
      </c>
      <c r="E78" s="6" t="s">
        <v>148</v>
      </c>
      <c r="F78" s="6" t="s">
        <v>698</v>
      </c>
      <c r="G78" s="6" t="s">
        <v>700</v>
      </c>
      <c r="H78" s="6">
        <v>8.0</v>
      </c>
      <c r="I78" s="6" t="s">
        <v>167</v>
      </c>
      <c r="J78" s="6"/>
      <c r="K78" s="6" t="s">
        <v>169</v>
      </c>
      <c r="L78" s="6" t="s">
        <v>702</v>
      </c>
      <c r="M78" s="6" t="s">
        <v>704</v>
      </c>
      <c r="N78" s="14"/>
    </row>
    <row r="79" ht="15.75" customHeight="1">
      <c r="A79" s="6">
        <v>38.0</v>
      </c>
      <c r="B79" s="12">
        <f t="shared" si="37"/>
        <v>46453</v>
      </c>
      <c r="C79" s="26" t="s">
        <v>693</v>
      </c>
      <c r="D79" s="6" t="s">
        <v>118</v>
      </c>
      <c r="E79" s="6" t="s">
        <v>148</v>
      </c>
      <c r="F79" s="6" t="s">
        <v>706</v>
      </c>
      <c r="G79" s="6"/>
      <c r="H79" s="6"/>
      <c r="I79" s="6" t="s">
        <v>204</v>
      </c>
      <c r="J79" s="6"/>
      <c r="K79" s="6" t="s">
        <v>169</v>
      </c>
      <c r="L79" s="6"/>
      <c r="M79" s="6"/>
      <c r="N79" s="14"/>
    </row>
    <row r="80" ht="15.75" customHeight="1">
      <c r="A80" s="6">
        <v>39.0</v>
      </c>
      <c r="B80" s="12">
        <f t="shared" ref="B80:B81" si="38">$C$2+7*(39-1)</f>
        <v>46460</v>
      </c>
      <c r="C80" s="26" t="s">
        <v>693</v>
      </c>
      <c r="D80" s="6" t="s">
        <v>109</v>
      </c>
      <c r="E80" s="6" t="s">
        <v>148</v>
      </c>
      <c r="F80" s="6" t="s">
        <v>720</v>
      </c>
      <c r="G80" s="6" t="s">
        <v>722</v>
      </c>
      <c r="H80" s="6">
        <v>3.0</v>
      </c>
      <c r="I80" s="6" t="s">
        <v>167</v>
      </c>
      <c r="J80" s="6"/>
      <c r="K80" s="6" t="s">
        <v>169</v>
      </c>
      <c r="L80" s="6" t="s">
        <v>724</v>
      </c>
      <c r="M80" s="6" t="s">
        <v>726</v>
      </c>
      <c r="N80" s="14"/>
    </row>
    <row r="81" ht="15.75" customHeight="1">
      <c r="A81" s="6">
        <v>39.0</v>
      </c>
      <c r="B81" s="12">
        <f t="shared" si="38"/>
        <v>46460</v>
      </c>
      <c r="C81" s="26" t="s">
        <v>693</v>
      </c>
      <c r="D81" s="6" t="s">
        <v>118</v>
      </c>
      <c r="E81" s="6" t="s">
        <v>148</v>
      </c>
      <c r="F81" s="6" t="s">
        <v>732</v>
      </c>
      <c r="G81" s="6"/>
      <c r="H81" s="6"/>
      <c r="I81" s="6" t="s">
        <v>204</v>
      </c>
      <c r="J81" s="6"/>
      <c r="K81" s="6" t="s">
        <v>169</v>
      </c>
      <c r="L81" s="6" t="s">
        <v>735</v>
      </c>
      <c r="M81" s="6" t="s">
        <v>737</v>
      </c>
      <c r="N81" s="14"/>
    </row>
    <row r="82" ht="15.75" customHeight="1">
      <c r="A82" s="6">
        <v>40.0</v>
      </c>
      <c r="B82" s="12">
        <f t="shared" ref="B82:B83" si="39">$C$2+7*(40-1)</f>
        <v>46467</v>
      </c>
      <c r="C82" s="26" t="s">
        <v>693</v>
      </c>
      <c r="D82" s="6" t="s">
        <v>109</v>
      </c>
      <c r="E82" s="6" t="s">
        <v>148</v>
      </c>
      <c r="F82" s="6" t="s">
        <v>744</v>
      </c>
      <c r="G82" s="6"/>
      <c r="H82" s="6"/>
      <c r="I82" s="6" t="s">
        <v>204</v>
      </c>
      <c r="J82" s="6"/>
      <c r="K82" s="6" t="s">
        <v>169</v>
      </c>
      <c r="L82" s="6" t="s">
        <v>746</v>
      </c>
      <c r="M82" s="6"/>
      <c r="N82" s="14"/>
    </row>
    <row r="83" ht="15.75" customHeight="1">
      <c r="A83" s="6">
        <v>40.0</v>
      </c>
      <c r="B83" s="12">
        <f t="shared" si="39"/>
        <v>46467</v>
      </c>
      <c r="C83" s="26" t="s">
        <v>693</v>
      </c>
      <c r="D83" s="6" t="s">
        <v>118</v>
      </c>
      <c r="E83" s="6" t="s">
        <v>148</v>
      </c>
      <c r="F83" s="6" t="s">
        <v>751</v>
      </c>
      <c r="G83" s="6"/>
      <c r="H83" s="6"/>
      <c r="I83" s="6" t="s">
        <v>204</v>
      </c>
      <c r="J83" s="6"/>
      <c r="K83" s="6" t="s">
        <v>169</v>
      </c>
      <c r="L83" s="6" t="s">
        <v>753</v>
      </c>
      <c r="M83" s="6"/>
      <c r="N83" s="14"/>
    </row>
    <row r="84" ht="15.75" customHeight="1">
      <c r="A84" s="6">
        <v>41.0</v>
      </c>
      <c r="B84" s="12">
        <f t="shared" ref="B84:B85" si="40">$C$2+7*(41-1)</f>
        <v>46474</v>
      </c>
      <c r="C84" s="26" t="s">
        <v>693</v>
      </c>
      <c r="D84" s="6" t="s">
        <v>109</v>
      </c>
      <c r="E84" s="6" t="s">
        <v>148</v>
      </c>
      <c r="F84" s="20" t="s">
        <v>760</v>
      </c>
      <c r="G84" s="6"/>
      <c r="H84" s="6"/>
      <c r="I84" s="21" t="s">
        <v>288</v>
      </c>
      <c r="J84" s="6" t="s">
        <v>763</v>
      </c>
      <c r="K84" s="6" t="s">
        <v>169</v>
      </c>
      <c r="L84" s="6" t="s">
        <v>764</v>
      </c>
      <c r="M84" s="6" t="s">
        <v>765</v>
      </c>
      <c r="N84" s="14"/>
    </row>
    <row r="85" ht="15.75" customHeight="1">
      <c r="A85" s="6">
        <v>41.0</v>
      </c>
      <c r="B85" s="12">
        <f t="shared" si="40"/>
        <v>46474</v>
      </c>
      <c r="C85" s="26" t="s">
        <v>693</v>
      </c>
      <c r="D85" s="6" t="s">
        <v>118</v>
      </c>
      <c r="E85" s="6" t="s">
        <v>148</v>
      </c>
      <c r="F85" s="19" t="s">
        <v>767</v>
      </c>
      <c r="G85" s="6"/>
      <c r="H85" s="6"/>
      <c r="I85" s="19" t="s">
        <v>280</v>
      </c>
      <c r="J85" s="6"/>
      <c r="K85" s="6" t="s">
        <v>169</v>
      </c>
      <c r="L85" s="6" t="s">
        <v>776</v>
      </c>
      <c r="M85" s="6" t="s">
        <v>777</v>
      </c>
      <c r="N85" s="14"/>
    </row>
    <row r="86" ht="15.75" customHeight="1">
      <c r="A86" s="6">
        <v>42.0</v>
      </c>
      <c r="B86" s="12">
        <f t="shared" ref="B86:B87" si="41">$C$2+7*(42-1)</f>
        <v>46481</v>
      </c>
      <c r="C86" s="26" t="s">
        <v>693</v>
      </c>
      <c r="D86" s="6" t="s">
        <v>109</v>
      </c>
      <c r="E86" s="6" t="s">
        <v>148</v>
      </c>
      <c r="F86" s="19" t="s">
        <v>784</v>
      </c>
      <c r="G86" s="6"/>
      <c r="H86" s="6"/>
      <c r="I86" s="19" t="s">
        <v>280</v>
      </c>
      <c r="J86" s="6"/>
      <c r="K86" s="6" t="s">
        <v>169</v>
      </c>
      <c r="L86" s="6"/>
      <c r="M86" s="6" t="s">
        <v>785</v>
      </c>
      <c r="N86" s="14"/>
    </row>
    <row r="87" ht="15.75" customHeight="1">
      <c r="A87" s="6">
        <v>42.0</v>
      </c>
      <c r="B87" s="12">
        <f t="shared" si="41"/>
        <v>46481</v>
      </c>
      <c r="C87" s="26" t="s">
        <v>693</v>
      </c>
      <c r="D87" s="6" t="s">
        <v>118</v>
      </c>
      <c r="E87" s="6" t="s">
        <v>148</v>
      </c>
      <c r="F87" s="19" t="s">
        <v>789</v>
      </c>
      <c r="G87" s="6"/>
      <c r="H87" s="6"/>
      <c r="I87" s="19" t="s">
        <v>280</v>
      </c>
      <c r="J87" s="6"/>
      <c r="K87" s="6" t="s">
        <v>169</v>
      </c>
      <c r="L87" s="6"/>
      <c r="M87" s="6" t="s">
        <v>785</v>
      </c>
      <c r="N87" s="14"/>
    </row>
    <row r="88" ht="15.75" customHeight="1">
      <c r="A88" s="6">
        <v>43.0</v>
      </c>
      <c r="B88" s="12">
        <f t="shared" ref="B88:B89" si="42">$C$2+7*(43-1)</f>
        <v>46488</v>
      </c>
      <c r="C88" s="26" t="s">
        <v>693</v>
      </c>
      <c r="D88" s="6" t="s">
        <v>109</v>
      </c>
      <c r="E88" s="6" t="s">
        <v>148</v>
      </c>
      <c r="F88" s="15" t="s">
        <v>795</v>
      </c>
      <c r="G88" s="6"/>
      <c r="H88" s="6"/>
      <c r="I88" s="16" t="s">
        <v>46</v>
      </c>
      <c r="J88" s="6"/>
      <c r="K88" s="6"/>
      <c r="L88" s="6"/>
      <c r="M88" s="6" t="s">
        <v>797</v>
      </c>
      <c r="N88" s="14"/>
    </row>
    <row r="89" ht="15.75" customHeight="1">
      <c r="A89" s="6">
        <v>43.0</v>
      </c>
      <c r="B89" s="12">
        <f t="shared" si="42"/>
        <v>46488</v>
      </c>
      <c r="C89" s="26" t="s">
        <v>693</v>
      </c>
      <c r="D89" s="6" t="s">
        <v>118</v>
      </c>
      <c r="E89" s="6" t="s">
        <v>148</v>
      </c>
      <c r="F89" s="22" t="s">
        <v>322</v>
      </c>
      <c r="G89" s="6"/>
      <c r="H89" s="6"/>
      <c r="I89" s="22" t="s">
        <v>326</v>
      </c>
      <c r="J89" s="6"/>
      <c r="K89" s="6"/>
      <c r="L89" s="6" t="s">
        <v>327</v>
      </c>
      <c r="M89" s="6" t="s">
        <v>797</v>
      </c>
      <c r="N89" s="14"/>
    </row>
    <row r="90" ht="15.75" customHeight="1">
      <c r="A90" s="6">
        <v>44.0</v>
      </c>
      <c r="B90" s="12">
        <f t="shared" ref="B90:B91" si="43">$C$2+7*(44-1)</f>
        <v>46495</v>
      </c>
      <c r="C90" s="26" t="s">
        <v>693</v>
      </c>
      <c r="D90" s="6" t="s">
        <v>109</v>
      </c>
      <c r="E90" s="6" t="s">
        <v>148</v>
      </c>
      <c r="F90" s="15" t="s">
        <v>806</v>
      </c>
      <c r="G90" s="6"/>
      <c r="H90" s="6"/>
      <c r="I90" s="16" t="s">
        <v>46</v>
      </c>
      <c r="J90" s="6"/>
      <c r="K90" s="6"/>
      <c r="L90" s="6" t="s">
        <v>339</v>
      </c>
      <c r="M90" s="6" t="s">
        <v>807</v>
      </c>
      <c r="N90" s="14"/>
    </row>
    <row r="91" ht="15.75" customHeight="1">
      <c r="A91" s="6">
        <v>44.0</v>
      </c>
      <c r="B91" s="12">
        <f t="shared" si="43"/>
        <v>46495</v>
      </c>
      <c r="C91" s="26" t="s">
        <v>693</v>
      </c>
      <c r="D91" s="6" t="s">
        <v>118</v>
      </c>
      <c r="E91" s="6" t="s">
        <v>148</v>
      </c>
      <c r="F91" s="22" t="s">
        <v>342</v>
      </c>
      <c r="G91" s="6"/>
      <c r="H91" s="6"/>
      <c r="I91" s="22" t="s">
        <v>326</v>
      </c>
      <c r="J91" s="6"/>
      <c r="K91" s="6"/>
      <c r="L91" s="6" t="s">
        <v>327</v>
      </c>
      <c r="M91" s="6" t="s">
        <v>807</v>
      </c>
      <c r="N91" s="14"/>
    </row>
    <row r="92" ht="15.75" customHeight="1">
      <c r="A92" s="6">
        <v>45.0</v>
      </c>
      <c r="B92" s="12">
        <f t="shared" ref="B92:B93" si="44">$C$2+7*(45-1)</f>
        <v>46502</v>
      </c>
      <c r="C92" s="26" t="s">
        <v>693</v>
      </c>
      <c r="D92" s="6" t="s">
        <v>109</v>
      </c>
      <c r="E92" s="6" t="s">
        <v>148</v>
      </c>
      <c r="F92" s="19" t="s">
        <v>821</v>
      </c>
      <c r="G92" s="6"/>
      <c r="H92" s="6"/>
      <c r="I92" s="19" t="s">
        <v>280</v>
      </c>
      <c r="J92" s="6"/>
      <c r="K92" s="6" t="s">
        <v>169</v>
      </c>
      <c r="L92" s="6"/>
      <c r="M92" s="6"/>
      <c r="N92" s="14"/>
    </row>
    <row r="93" ht="15.75" customHeight="1">
      <c r="A93" s="6">
        <v>45.0</v>
      </c>
      <c r="B93" s="12">
        <f t="shared" si="44"/>
        <v>46502</v>
      </c>
      <c r="C93" s="26" t="s">
        <v>693</v>
      </c>
      <c r="D93" s="6" t="s">
        <v>118</v>
      </c>
      <c r="E93" s="6" t="s">
        <v>148</v>
      </c>
      <c r="F93" s="19" t="s">
        <v>828</v>
      </c>
      <c r="G93" s="6"/>
      <c r="H93" s="6"/>
      <c r="I93" s="19" t="s">
        <v>280</v>
      </c>
      <c r="J93" s="6"/>
      <c r="K93" s="6" t="s">
        <v>169</v>
      </c>
      <c r="L93" s="6"/>
      <c r="M93" s="6"/>
      <c r="N93" s="14"/>
    </row>
    <row r="94" ht="15.75" customHeight="1">
      <c r="A94" s="6" t="s">
        <v>830</v>
      </c>
      <c r="B94" s="12">
        <f>$C$2+7*(46-1)</f>
        <v>46509</v>
      </c>
      <c r="C94" s="26" t="s">
        <v>693</v>
      </c>
      <c r="D94" s="6" t="s">
        <v>156</v>
      </c>
      <c r="E94" s="6"/>
      <c r="F94" s="6" t="s">
        <v>836</v>
      </c>
      <c r="G94" s="6"/>
      <c r="H94" s="6"/>
      <c r="I94" s="6" t="s">
        <v>837</v>
      </c>
      <c r="J94" s="6"/>
      <c r="K94" s="6"/>
      <c r="L94" s="6" t="s">
        <v>838</v>
      </c>
      <c r="M94" s="6"/>
      <c r="N94" s="14"/>
    </row>
    <row r="95" ht="15.75" customHeight="1">
      <c r="N95" s="14"/>
    </row>
    <row r="96" ht="15.75" customHeight="1">
      <c r="N96" s="14"/>
    </row>
    <row r="97" ht="15.75" customHeight="1">
      <c r="N97" s="14"/>
    </row>
    <row r="98" ht="15.75" customHeight="1">
      <c r="N98" s="14"/>
    </row>
    <row r="99" ht="15.75" customHeight="1">
      <c r="N99" s="14"/>
    </row>
    <row r="100" ht="15.75" customHeight="1">
      <c r="N100" s="14"/>
    </row>
    <row r="101" ht="15.75" customHeight="1">
      <c r="N101" s="27"/>
    </row>
    <row r="102" ht="15.75" customHeight="1">
      <c r="N102" s="27"/>
    </row>
    <row r="103" ht="15.75" customHeight="1">
      <c r="N103" s="27"/>
    </row>
    <row r="104" ht="15.75" customHeight="1">
      <c r="N104" s="27"/>
    </row>
    <row r="105" ht="15.75" customHeight="1">
      <c r="N105" s="27"/>
    </row>
    <row r="106" ht="15.75" customHeight="1">
      <c r="N106" s="27"/>
    </row>
    <row r="107" ht="15.75" customHeight="1">
      <c r="N107" s="27"/>
    </row>
    <row r="108" ht="15.75" customHeight="1">
      <c r="N108" s="27"/>
    </row>
    <row r="109" ht="15.75" customHeight="1">
      <c r="N109" s="27"/>
    </row>
    <row r="110" ht="15.75" customHeight="1">
      <c r="N110" s="27"/>
    </row>
    <row r="111" ht="15.75" customHeight="1">
      <c r="N111" s="27"/>
    </row>
    <row r="112" ht="15.75" customHeight="1">
      <c r="N112" s="27"/>
    </row>
    <row r="113" ht="15.75" customHeight="1">
      <c r="N113" s="27"/>
    </row>
    <row r="114" ht="15.75" customHeight="1">
      <c r="N114" s="27"/>
    </row>
    <row r="115" ht="15.75" customHeight="1">
      <c r="N115" s="27"/>
    </row>
    <row r="116" ht="15.75" customHeight="1">
      <c r="N116" s="27"/>
    </row>
    <row r="117" ht="15.75" customHeight="1">
      <c r="N117" s="27"/>
    </row>
    <row r="118" ht="15.75" customHeight="1">
      <c r="N118" s="27"/>
    </row>
    <row r="119" ht="15.75" customHeight="1">
      <c r="N119" s="27"/>
    </row>
    <row r="120" ht="15.75" customHeight="1">
      <c r="N120" s="27"/>
    </row>
    <row r="121" ht="15.75" customHeight="1">
      <c r="N121" s="27"/>
    </row>
    <row r="122" ht="15.75" customHeight="1">
      <c r="N122" s="27"/>
    </row>
    <row r="123" ht="15.75" customHeight="1">
      <c r="N123" s="27"/>
    </row>
    <row r="124" ht="15.75" customHeight="1">
      <c r="N124" s="27"/>
    </row>
    <row r="125" ht="15.75" customHeight="1">
      <c r="N125" s="27"/>
    </row>
    <row r="126" ht="15.75" customHeight="1">
      <c r="N126" s="27"/>
    </row>
    <row r="127" ht="15.75" customHeight="1">
      <c r="N127" s="27"/>
    </row>
    <row r="128" ht="15.75" customHeight="1">
      <c r="N128" s="27"/>
    </row>
    <row r="129" ht="15.75" customHeight="1">
      <c r="N129" s="27"/>
    </row>
    <row r="130" ht="15.75" customHeight="1">
      <c r="N130" s="27"/>
    </row>
    <row r="131" ht="15.75" customHeight="1">
      <c r="N131" s="27"/>
    </row>
    <row r="132" ht="15.75" customHeight="1">
      <c r="N132" s="27"/>
    </row>
    <row r="133" ht="15.75" customHeight="1">
      <c r="N133" s="27"/>
    </row>
    <row r="134" ht="15.75" customHeight="1">
      <c r="N134" s="27"/>
    </row>
    <row r="135" ht="15.75" customHeight="1">
      <c r="N135" s="27"/>
    </row>
    <row r="136" ht="15.75" customHeight="1">
      <c r="N136" s="27"/>
    </row>
    <row r="137" ht="15.75" customHeight="1">
      <c r="N137" s="27"/>
    </row>
    <row r="138" ht="15.75" customHeight="1">
      <c r="N138" s="27"/>
    </row>
    <row r="139" ht="15.75" customHeight="1">
      <c r="N139" s="27"/>
    </row>
    <row r="140" ht="15.75" customHeight="1">
      <c r="N140" s="27"/>
    </row>
    <row r="141" ht="15.75" customHeight="1">
      <c r="N141" s="27"/>
    </row>
    <row r="142" ht="15.75" customHeight="1">
      <c r="N142" s="27"/>
    </row>
    <row r="143" ht="15.75" customHeight="1">
      <c r="N143" s="27"/>
    </row>
    <row r="144" ht="15.75" customHeight="1">
      <c r="N144" s="27"/>
    </row>
    <row r="145" ht="15.75" customHeight="1">
      <c r="N145" s="27"/>
    </row>
    <row r="146" ht="15.75" customHeight="1">
      <c r="N146" s="27"/>
    </row>
    <row r="147" ht="15.75" customHeight="1">
      <c r="N147" s="27"/>
    </row>
    <row r="148" ht="15.75" customHeight="1">
      <c r="N148" s="27"/>
    </row>
    <row r="149" ht="15.75" customHeight="1">
      <c r="N149" s="27"/>
    </row>
    <row r="150" ht="15.75" customHeight="1">
      <c r="N150" s="27"/>
    </row>
    <row r="151" ht="15.75" customHeight="1">
      <c r="N151" s="27"/>
    </row>
    <row r="152" ht="15.75" customHeight="1">
      <c r="N152" s="27"/>
    </row>
    <row r="153" ht="15.75" customHeight="1">
      <c r="N153" s="27"/>
    </row>
    <row r="154" ht="15.75" customHeight="1">
      <c r="N154" s="27"/>
    </row>
    <row r="155" ht="15.75" customHeight="1">
      <c r="N155" s="27"/>
    </row>
    <row r="156" ht="15.75" customHeight="1">
      <c r="N156" s="27"/>
    </row>
    <row r="157" ht="15.75" customHeight="1">
      <c r="N157" s="27"/>
    </row>
    <row r="158" ht="15.75" customHeight="1">
      <c r="N158" s="27"/>
    </row>
    <row r="159" ht="15.75" customHeight="1">
      <c r="N159" s="27"/>
    </row>
    <row r="160" ht="15.75" customHeight="1">
      <c r="N160" s="27"/>
    </row>
    <row r="161" ht="15.75" customHeight="1">
      <c r="N161" s="27"/>
    </row>
    <row r="162" ht="15.75" customHeight="1">
      <c r="N162" s="27"/>
    </row>
    <row r="163" ht="15.75" customHeight="1">
      <c r="N163" s="27"/>
    </row>
    <row r="164" ht="15.75" customHeight="1">
      <c r="N164" s="27"/>
    </row>
    <row r="165" ht="15.75" customHeight="1">
      <c r="N165" s="27"/>
    </row>
    <row r="166" ht="15.75" customHeight="1">
      <c r="N166" s="27"/>
    </row>
    <row r="167" ht="15.75" customHeight="1">
      <c r="N167" s="27"/>
    </row>
    <row r="168" ht="15.75" customHeight="1">
      <c r="N168" s="27"/>
    </row>
    <row r="169" ht="15.75" customHeight="1">
      <c r="N169" s="27"/>
    </row>
    <row r="170" ht="15.75" customHeight="1">
      <c r="N170" s="27"/>
    </row>
    <row r="171" ht="15.75" customHeight="1">
      <c r="N171" s="27"/>
    </row>
    <row r="172" ht="15.75" customHeight="1">
      <c r="N172" s="27"/>
    </row>
    <row r="173" ht="15.75" customHeight="1">
      <c r="N173" s="27"/>
    </row>
    <row r="174" ht="15.75" customHeight="1">
      <c r="N174" s="27"/>
    </row>
    <row r="175" ht="15.75" customHeight="1">
      <c r="N175" s="27"/>
    </row>
    <row r="176" ht="15.75" customHeight="1">
      <c r="N176" s="27"/>
    </row>
    <row r="177" ht="15.75" customHeight="1">
      <c r="N177" s="27"/>
    </row>
    <row r="178" ht="15.75" customHeight="1">
      <c r="N178" s="27"/>
    </row>
    <row r="179" ht="15.75" customHeight="1">
      <c r="N179" s="27"/>
    </row>
    <row r="180" ht="15.75" customHeight="1">
      <c r="N180" s="27"/>
    </row>
    <row r="181" ht="15.75" customHeight="1">
      <c r="N181" s="27"/>
    </row>
    <row r="182" ht="15.75" customHeight="1">
      <c r="N182" s="27"/>
    </row>
    <row r="183" ht="15.75" customHeight="1">
      <c r="N183" s="27"/>
    </row>
    <row r="184" ht="15.75" customHeight="1">
      <c r="N184" s="27"/>
    </row>
    <row r="185" ht="15.75" customHeight="1">
      <c r="N185" s="27"/>
    </row>
    <row r="186" ht="15.75" customHeight="1">
      <c r="N186" s="27"/>
    </row>
    <row r="187" ht="15.75" customHeight="1">
      <c r="N187" s="27"/>
    </row>
    <row r="188" ht="15.75" customHeight="1">
      <c r="N188" s="27"/>
    </row>
    <row r="189" ht="15.75" customHeight="1">
      <c r="N189" s="27"/>
    </row>
    <row r="190" ht="15.75" customHeight="1">
      <c r="N190" s="27"/>
    </row>
    <row r="191" ht="15.75" customHeight="1">
      <c r="N191" s="27"/>
    </row>
    <row r="192" ht="15.75" customHeight="1">
      <c r="N192" s="27"/>
    </row>
    <row r="193" ht="15.75" customHeight="1">
      <c r="N193" s="27"/>
    </row>
    <row r="194" ht="15.75" customHeight="1">
      <c r="N194" s="27"/>
    </row>
    <row r="195" ht="15.75" customHeight="1">
      <c r="N195" s="27"/>
    </row>
    <row r="196" ht="15.75" customHeight="1">
      <c r="N196" s="27"/>
    </row>
    <row r="197" ht="15.75" customHeight="1">
      <c r="N197" s="27"/>
    </row>
    <row r="198" ht="15.75" customHeight="1">
      <c r="N198" s="27"/>
    </row>
    <row r="199" ht="15.75" customHeight="1">
      <c r="N199" s="27"/>
    </row>
    <row r="200" ht="15.75" customHeight="1">
      <c r="N200" s="27"/>
    </row>
    <row r="201" ht="15.75" customHeight="1">
      <c r="N201" s="27"/>
    </row>
    <row r="202" ht="15.75" customHeight="1">
      <c r="N202" s="27"/>
    </row>
    <row r="203" ht="15.75" customHeight="1">
      <c r="N203" s="27"/>
    </row>
    <row r="204" ht="15.75" customHeight="1">
      <c r="N204" s="27"/>
    </row>
    <row r="205" ht="15.75" customHeight="1">
      <c r="N205" s="27"/>
    </row>
    <row r="206" ht="15.75" customHeight="1">
      <c r="N206" s="27"/>
    </row>
    <row r="207" ht="15.75" customHeight="1">
      <c r="N207" s="27"/>
    </row>
    <row r="208" ht="15.75" customHeight="1">
      <c r="N208" s="27"/>
    </row>
    <row r="209" ht="15.75" customHeight="1">
      <c r="N209" s="27"/>
    </row>
    <row r="210" ht="15.75" customHeight="1">
      <c r="N210" s="27"/>
    </row>
    <row r="211" ht="15.75" customHeight="1">
      <c r="N211" s="27"/>
    </row>
    <row r="212" ht="15.75" customHeight="1">
      <c r="N212" s="27"/>
    </row>
    <row r="213" ht="15.75" customHeight="1">
      <c r="N213" s="27"/>
    </row>
    <row r="214" ht="15.75" customHeight="1">
      <c r="N214" s="27"/>
    </row>
    <row r="215" ht="15.75" customHeight="1">
      <c r="N215" s="27"/>
    </row>
    <row r="216" ht="15.75" customHeight="1">
      <c r="N216" s="27"/>
    </row>
    <row r="217" ht="15.75" customHeight="1">
      <c r="N217" s="27"/>
    </row>
    <row r="218" ht="15.75" customHeight="1">
      <c r="N218" s="27"/>
    </row>
    <row r="219" ht="15.75" customHeight="1">
      <c r="N219" s="27"/>
    </row>
    <row r="220" ht="15.75" customHeight="1">
      <c r="N220" s="27"/>
    </row>
    <row r="221" ht="15.75" customHeight="1">
      <c r="N221" s="27"/>
    </row>
    <row r="222" ht="15.75" customHeight="1">
      <c r="N222" s="27"/>
    </row>
    <row r="223" ht="15.75" customHeight="1">
      <c r="N223" s="27"/>
    </row>
    <row r="224" ht="15.75" customHeight="1">
      <c r="N224" s="27"/>
    </row>
    <row r="225" ht="15.75" customHeight="1">
      <c r="N225" s="27"/>
    </row>
    <row r="226" ht="15.75" customHeight="1">
      <c r="N226" s="27"/>
    </row>
    <row r="227" ht="15.75" customHeight="1">
      <c r="N227" s="27"/>
    </row>
    <row r="228" ht="15.75" customHeight="1">
      <c r="N228" s="27"/>
    </row>
    <row r="229" ht="15.75" customHeight="1">
      <c r="N229" s="27"/>
    </row>
    <row r="230" ht="15.75" customHeight="1">
      <c r="N230" s="27"/>
    </row>
    <row r="231" ht="15.75" customHeight="1">
      <c r="N231" s="27"/>
    </row>
    <row r="232" ht="15.75" customHeight="1">
      <c r="N232" s="27"/>
    </row>
    <row r="233" ht="15.75" customHeight="1">
      <c r="N233" s="27"/>
    </row>
    <row r="234" ht="15.75" customHeight="1">
      <c r="N234" s="27"/>
    </row>
    <row r="235" ht="15.75" customHeight="1">
      <c r="N235" s="27"/>
    </row>
    <row r="236" ht="15.75" customHeight="1">
      <c r="N236" s="27"/>
    </row>
    <row r="237" ht="15.75" customHeight="1">
      <c r="N237" s="27"/>
    </row>
    <row r="238" ht="15.75" customHeight="1">
      <c r="N238" s="27"/>
    </row>
    <row r="239" ht="15.75" customHeight="1">
      <c r="N239" s="27"/>
    </row>
    <row r="240" ht="15.75" customHeight="1">
      <c r="N240" s="27"/>
    </row>
    <row r="241" ht="15.75" customHeight="1">
      <c r="N241" s="27"/>
    </row>
    <row r="242" ht="15.75" customHeight="1">
      <c r="N242" s="27"/>
    </row>
    <row r="243" ht="15.75" customHeight="1">
      <c r="N243" s="27"/>
    </row>
    <row r="244" ht="15.75" customHeight="1">
      <c r="N244" s="27"/>
    </row>
    <row r="245" ht="15.75" customHeight="1">
      <c r="N245" s="27"/>
    </row>
    <row r="246" ht="15.75" customHeight="1">
      <c r="N246" s="27"/>
    </row>
    <row r="247" ht="15.75" customHeight="1">
      <c r="N247" s="27"/>
    </row>
    <row r="248" ht="15.75" customHeight="1">
      <c r="N248" s="27"/>
    </row>
    <row r="249" ht="15.75" customHeight="1">
      <c r="N249" s="27"/>
    </row>
    <row r="250" ht="15.75" customHeight="1">
      <c r="N250" s="27"/>
    </row>
    <row r="251" ht="15.75" customHeight="1">
      <c r="N251" s="27"/>
    </row>
    <row r="252" ht="15.75" customHeight="1">
      <c r="N252" s="27"/>
    </row>
    <row r="253" ht="15.75" customHeight="1">
      <c r="N253" s="27"/>
    </row>
    <row r="254" ht="15.75" customHeight="1">
      <c r="N254" s="27"/>
    </row>
    <row r="255" ht="15.75" customHeight="1">
      <c r="N255" s="27"/>
    </row>
    <row r="256" ht="15.75" customHeight="1">
      <c r="N256" s="27"/>
    </row>
    <row r="257" ht="15.75" customHeight="1">
      <c r="N257" s="27"/>
    </row>
    <row r="258" ht="15.75" customHeight="1">
      <c r="N258" s="27"/>
    </row>
    <row r="259" ht="15.75" customHeight="1">
      <c r="N259" s="27"/>
    </row>
    <row r="260" ht="15.75" customHeight="1">
      <c r="N260" s="27"/>
    </row>
    <row r="261" ht="15.75" customHeight="1">
      <c r="N261" s="27"/>
    </row>
    <row r="262" ht="15.75" customHeight="1">
      <c r="N262" s="27"/>
    </row>
    <row r="263" ht="15.75" customHeight="1">
      <c r="N263" s="27"/>
    </row>
    <row r="264" ht="15.75" customHeight="1">
      <c r="N264" s="27"/>
    </row>
    <row r="265" ht="15.75" customHeight="1">
      <c r="N265" s="27"/>
    </row>
    <row r="266" ht="15.75" customHeight="1">
      <c r="N266" s="27"/>
    </row>
    <row r="267" ht="15.75" customHeight="1">
      <c r="N267" s="27"/>
    </row>
    <row r="268" ht="15.75" customHeight="1">
      <c r="N268" s="27"/>
    </row>
    <row r="269" ht="15.75" customHeight="1">
      <c r="N269" s="27"/>
    </row>
    <row r="270" ht="15.75" customHeight="1">
      <c r="N270" s="27"/>
    </row>
    <row r="271" ht="15.75" customHeight="1">
      <c r="N271" s="27"/>
    </row>
    <row r="272" ht="15.75" customHeight="1">
      <c r="N272" s="27"/>
    </row>
    <row r="273" ht="15.75" customHeight="1">
      <c r="N273" s="27"/>
    </row>
    <row r="274" ht="15.75" customHeight="1">
      <c r="N274" s="27"/>
    </row>
    <row r="275" ht="15.75" customHeight="1">
      <c r="N275" s="27"/>
    </row>
    <row r="276" ht="15.75" customHeight="1">
      <c r="N276" s="27"/>
    </row>
    <row r="277" ht="15.75" customHeight="1">
      <c r="N277" s="27"/>
    </row>
    <row r="278" ht="15.75" customHeight="1">
      <c r="N278" s="27"/>
    </row>
    <row r="279" ht="15.75" customHeight="1">
      <c r="N279" s="27"/>
    </row>
    <row r="280" ht="15.75" customHeight="1">
      <c r="N280" s="27"/>
    </row>
    <row r="281" ht="15.75" customHeight="1">
      <c r="N281" s="27"/>
    </row>
    <row r="282" ht="15.75" customHeight="1">
      <c r="N282" s="27"/>
    </row>
    <row r="283" ht="15.75" customHeight="1">
      <c r="N283" s="27"/>
    </row>
    <row r="284" ht="15.75" customHeight="1">
      <c r="N284" s="27"/>
    </row>
    <row r="285" ht="15.75" customHeight="1">
      <c r="N285" s="27"/>
    </row>
    <row r="286" ht="15.75" customHeight="1">
      <c r="N286" s="27"/>
    </row>
    <row r="287" ht="15.75" customHeight="1">
      <c r="N287" s="27"/>
    </row>
    <row r="288" ht="15.75" customHeight="1">
      <c r="N288" s="27"/>
    </row>
    <row r="289" ht="15.75" customHeight="1">
      <c r="N289" s="27"/>
    </row>
    <row r="290" ht="15.75" customHeight="1">
      <c r="N290" s="27"/>
    </row>
    <row r="291" ht="15.75" customHeight="1">
      <c r="N291" s="27"/>
    </row>
    <row r="292" ht="15.75" customHeight="1">
      <c r="N292" s="27"/>
    </row>
    <row r="293" ht="15.75" customHeight="1">
      <c r="N293" s="27"/>
    </row>
    <row r="294" ht="15.75" customHeight="1">
      <c r="N294" s="27"/>
    </row>
    <row r="295" ht="15.75" customHeight="1">
      <c r="N295" s="27"/>
    </row>
    <row r="296" ht="15.75" customHeight="1">
      <c r="N296" s="27"/>
    </row>
    <row r="297" ht="15.75" customHeight="1">
      <c r="N297" s="27"/>
    </row>
    <row r="298" ht="15.75" customHeight="1">
      <c r="N298" s="27"/>
    </row>
    <row r="299" ht="15.75" customHeight="1">
      <c r="N299" s="27"/>
    </row>
    <row r="300" ht="15.75" customHeight="1">
      <c r="N300" s="27"/>
    </row>
    <row r="301" ht="15.75" customHeight="1">
      <c r="N301" s="27"/>
    </row>
    <row r="302" ht="15.75" customHeight="1">
      <c r="N302" s="27"/>
    </row>
    <row r="303" ht="15.75" customHeight="1">
      <c r="N303" s="27"/>
    </row>
    <row r="304" ht="15.75" customHeight="1">
      <c r="N304" s="27"/>
    </row>
    <row r="305" ht="15.75" customHeight="1">
      <c r="N305" s="27"/>
    </row>
    <row r="306" ht="15.75" customHeight="1">
      <c r="N306" s="27"/>
    </row>
    <row r="307" ht="15.75" customHeight="1">
      <c r="N307" s="27"/>
    </row>
    <row r="308" ht="15.75" customHeight="1">
      <c r="N308" s="27"/>
    </row>
    <row r="309" ht="15.75" customHeight="1">
      <c r="N309" s="27"/>
    </row>
    <row r="310" ht="15.75" customHeight="1">
      <c r="N310" s="27"/>
    </row>
    <row r="311" ht="15.75" customHeight="1">
      <c r="N311" s="27"/>
    </row>
    <row r="312" ht="15.75" customHeight="1">
      <c r="N312" s="27"/>
    </row>
    <row r="313" ht="15.75" customHeight="1">
      <c r="N313" s="27"/>
    </row>
    <row r="314" ht="15.75" customHeight="1">
      <c r="N314" s="27"/>
    </row>
    <row r="315" ht="15.75" customHeight="1">
      <c r="N315" s="27"/>
    </row>
    <row r="316" ht="15.75" customHeight="1">
      <c r="N316" s="27"/>
    </row>
    <row r="317" ht="15.75" customHeight="1">
      <c r="N317" s="27"/>
    </row>
    <row r="318" ht="15.75" customHeight="1">
      <c r="N318" s="27"/>
    </row>
    <row r="319" ht="15.75" customHeight="1">
      <c r="N319" s="27"/>
    </row>
    <row r="320" ht="15.75" customHeight="1">
      <c r="N320" s="27"/>
    </row>
    <row r="321" ht="15.75" customHeight="1">
      <c r="N321" s="27"/>
    </row>
    <row r="322" ht="15.75" customHeight="1">
      <c r="N322" s="27"/>
    </row>
    <row r="323" ht="15.75" customHeight="1">
      <c r="N323" s="27"/>
    </row>
    <row r="324" ht="15.75" customHeight="1">
      <c r="N324" s="27"/>
    </row>
    <row r="325" ht="15.75" customHeight="1">
      <c r="N325" s="27"/>
    </row>
    <row r="326" ht="15.75" customHeight="1">
      <c r="N326" s="27"/>
    </row>
    <row r="327" ht="15.75" customHeight="1">
      <c r="N327" s="27"/>
    </row>
    <row r="328" ht="15.75" customHeight="1">
      <c r="N328" s="27"/>
    </row>
    <row r="329" ht="15.75" customHeight="1">
      <c r="N329" s="27"/>
    </row>
    <row r="330" ht="15.75" customHeight="1">
      <c r="N330" s="27"/>
    </row>
    <row r="331" ht="15.75" customHeight="1">
      <c r="N331" s="27"/>
    </row>
    <row r="332" ht="15.75" customHeight="1">
      <c r="N332" s="27"/>
    </row>
    <row r="333" ht="15.75" customHeight="1">
      <c r="N333" s="27"/>
    </row>
    <row r="334" ht="15.75" customHeight="1">
      <c r="N334" s="27"/>
    </row>
    <row r="335" ht="15.75" customHeight="1">
      <c r="N335" s="27"/>
    </row>
    <row r="336" ht="15.75" customHeight="1">
      <c r="N336" s="27"/>
    </row>
    <row r="337" ht="15.75" customHeight="1">
      <c r="N337" s="27"/>
    </row>
    <row r="338" ht="15.75" customHeight="1">
      <c r="N338" s="27"/>
    </row>
    <row r="339" ht="15.75" customHeight="1">
      <c r="N339" s="27"/>
    </row>
    <row r="340" ht="15.75" customHeight="1">
      <c r="N340" s="27"/>
    </row>
    <row r="341" ht="15.75" customHeight="1">
      <c r="N341" s="27"/>
    </row>
    <row r="342" ht="15.75" customHeight="1">
      <c r="N342" s="27"/>
    </row>
    <row r="343" ht="15.75" customHeight="1">
      <c r="N343" s="27"/>
    </row>
    <row r="344" ht="15.75" customHeight="1">
      <c r="N344" s="27"/>
    </row>
    <row r="345" ht="15.75" customHeight="1">
      <c r="N345" s="27"/>
    </row>
    <row r="346" ht="15.75" customHeight="1">
      <c r="N346" s="27"/>
    </row>
    <row r="347" ht="15.75" customHeight="1">
      <c r="N347" s="27"/>
    </row>
    <row r="348" ht="15.75" customHeight="1">
      <c r="N348" s="27"/>
    </row>
    <row r="349" ht="15.75" customHeight="1">
      <c r="N349" s="27"/>
    </row>
    <row r="350" ht="15.75" customHeight="1">
      <c r="N350" s="27"/>
    </row>
    <row r="351" ht="15.75" customHeight="1">
      <c r="N351" s="27"/>
    </row>
    <row r="352" ht="15.75" customHeight="1">
      <c r="N352" s="27"/>
    </row>
    <row r="353" ht="15.75" customHeight="1">
      <c r="N353" s="27"/>
    </row>
    <row r="354" ht="15.75" customHeight="1">
      <c r="N354" s="27"/>
    </row>
    <row r="355" ht="15.75" customHeight="1">
      <c r="N355" s="27"/>
    </row>
    <row r="356" ht="15.75" customHeight="1">
      <c r="N356" s="27"/>
    </row>
    <row r="357" ht="15.75" customHeight="1">
      <c r="N357" s="27"/>
    </row>
    <row r="358" ht="15.75" customHeight="1">
      <c r="N358" s="27"/>
    </row>
    <row r="359" ht="15.75" customHeight="1">
      <c r="N359" s="27"/>
    </row>
    <row r="360" ht="15.75" customHeight="1">
      <c r="N360" s="27"/>
    </row>
    <row r="361" ht="15.75" customHeight="1">
      <c r="N361" s="27"/>
    </row>
    <row r="362" ht="15.75" customHeight="1">
      <c r="N362" s="27"/>
    </row>
    <row r="363" ht="15.75" customHeight="1">
      <c r="N363" s="27"/>
    </row>
    <row r="364" ht="15.75" customHeight="1">
      <c r="N364" s="27"/>
    </row>
    <row r="365" ht="15.75" customHeight="1">
      <c r="N365" s="27"/>
    </row>
    <row r="366" ht="15.75" customHeight="1">
      <c r="N366" s="27"/>
    </row>
    <row r="367" ht="15.75" customHeight="1">
      <c r="N367" s="27"/>
    </row>
    <row r="368" ht="15.75" customHeight="1">
      <c r="N368" s="27"/>
    </row>
    <row r="369" ht="15.75" customHeight="1">
      <c r="N369" s="27"/>
    </row>
    <row r="370" ht="15.75" customHeight="1">
      <c r="N370" s="27"/>
    </row>
    <row r="371" ht="15.75" customHeight="1">
      <c r="N371" s="27"/>
    </row>
    <row r="372" ht="15.75" customHeight="1">
      <c r="N372" s="27"/>
    </row>
    <row r="373" ht="15.75" customHeight="1">
      <c r="N373" s="27"/>
    </row>
    <row r="374" ht="15.75" customHeight="1">
      <c r="N374" s="27"/>
    </row>
    <row r="375" ht="15.75" customHeight="1">
      <c r="N375" s="27"/>
    </row>
    <row r="376" ht="15.75" customHeight="1">
      <c r="N376" s="27"/>
    </row>
    <row r="377" ht="15.75" customHeight="1">
      <c r="N377" s="27"/>
    </row>
    <row r="378" ht="15.75" customHeight="1">
      <c r="N378" s="27"/>
    </row>
    <row r="379" ht="15.75" customHeight="1">
      <c r="N379" s="27"/>
    </row>
    <row r="380" ht="15.75" customHeight="1">
      <c r="N380" s="27"/>
    </row>
    <row r="381" ht="15.75" customHeight="1">
      <c r="N381" s="27"/>
    </row>
    <row r="382" ht="15.75" customHeight="1">
      <c r="N382" s="27"/>
    </row>
    <row r="383" ht="15.75" customHeight="1">
      <c r="N383" s="27"/>
    </row>
    <row r="384" ht="15.75" customHeight="1">
      <c r="N384" s="27"/>
    </row>
    <row r="385" ht="15.75" customHeight="1">
      <c r="N385" s="27"/>
    </row>
    <row r="386" ht="15.75" customHeight="1">
      <c r="N386" s="27"/>
    </row>
    <row r="387" ht="15.75" customHeight="1">
      <c r="N387" s="27"/>
    </row>
    <row r="388" ht="15.75" customHeight="1">
      <c r="N388" s="27"/>
    </row>
    <row r="389" ht="15.75" customHeight="1">
      <c r="N389" s="27"/>
    </row>
    <row r="390" ht="15.75" customHeight="1">
      <c r="N390" s="27"/>
    </row>
    <row r="391" ht="15.75" customHeight="1">
      <c r="N391" s="27"/>
    </row>
    <row r="392" ht="15.75" customHeight="1">
      <c r="N392" s="27"/>
    </row>
    <row r="393" ht="15.75" customHeight="1">
      <c r="N393" s="27"/>
    </row>
    <row r="394" ht="15.75" customHeight="1">
      <c r="N394" s="27"/>
    </row>
    <row r="395" ht="15.75" customHeight="1">
      <c r="N395" s="27"/>
    </row>
    <row r="396" ht="15.75" customHeight="1">
      <c r="N396" s="27"/>
    </row>
    <row r="397" ht="15.75" customHeight="1">
      <c r="N397" s="27"/>
    </row>
    <row r="398" ht="15.75" customHeight="1">
      <c r="N398" s="27"/>
    </row>
    <row r="399" ht="15.75" customHeight="1">
      <c r="N399" s="27"/>
    </row>
    <row r="400" ht="15.75" customHeight="1">
      <c r="N400" s="27"/>
    </row>
    <row r="401" ht="15.75" customHeight="1">
      <c r="N401" s="27"/>
    </row>
    <row r="402" ht="15.75" customHeight="1">
      <c r="N402" s="27"/>
    </row>
    <row r="403" ht="15.75" customHeight="1">
      <c r="N403" s="27"/>
    </row>
    <row r="404" ht="15.75" customHeight="1">
      <c r="N404" s="27"/>
    </row>
    <row r="405" ht="15.75" customHeight="1">
      <c r="N405" s="27"/>
    </row>
    <row r="406" ht="15.75" customHeight="1">
      <c r="N406" s="27"/>
    </row>
    <row r="407" ht="15.75" customHeight="1">
      <c r="N407" s="27"/>
    </row>
    <row r="408" ht="15.75" customHeight="1">
      <c r="N408" s="27"/>
    </row>
    <row r="409" ht="15.75" customHeight="1">
      <c r="N409" s="27"/>
    </row>
    <row r="410" ht="15.75" customHeight="1">
      <c r="N410" s="27"/>
    </row>
    <row r="411" ht="15.75" customHeight="1">
      <c r="N411" s="27"/>
    </row>
    <row r="412" ht="15.75" customHeight="1">
      <c r="N412" s="27"/>
    </row>
    <row r="413" ht="15.75" customHeight="1">
      <c r="N413" s="27"/>
    </row>
    <row r="414" ht="15.75" customHeight="1">
      <c r="N414" s="27"/>
    </row>
    <row r="415" ht="15.75" customHeight="1">
      <c r="N415" s="27"/>
    </row>
    <row r="416" ht="15.75" customHeight="1">
      <c r="N416" s="27"/>
    </row>
    <row r="417" ht="15.75" customHeight="1">
      <c r="N417" s="27"/>
    </row>
    <row r="418" ht="15.75" customHeight="1">
      <c r="N418" s="27"/>
    </row>
    <row r="419" ht="15.75" customHeight="1">
      <c r="N419" s="27"/>
    </row>
    <row r="420" ht="15.75" customHeight="1">
      <c r="N420" s="27"/>
    </row>
    <row r="421" ht="15.75" customHeight="1">
      <c r="N421" s="27"/>
    </row>
    <row r="422" ht="15.75" customHeight="1">
      <c r="N422" s="27"/>
    </row>
    <row r="423" ht="15.75" customHeight="1">
      <c r="N423" s="27"/>
    </row>
    <row r="424" ht="15.75" customHeight="1">
      <c r="N424" s="27"/>
    </row>
    <row r="425" ht="15.75" customHeight="1">
      <c r="N425" s="27"/>
    </row>
    <row r="426" ht="15.75" customHeight="1">
      <c r="N426" s="27"/>
    </row>
    <row r="427" ht="15.75" customHeight="1">
      <c r="N427" s="27"/>
    </row>
    <row r="428" ht="15.75" customHeight="1">
      <c r="N428" s="27"/>
    </row>
    <row r="429" ht="15.75" customHeight="1">
      <c r="N429" s="27"/>
    </row>
    <row r="430" ht="15.75" customHeight="1">
      <c r="N430" s="27"/>
    </row>
    <row r="431" ht="15.75" customHeight="1">
      <c r="N431" s="27"/>
    </row>
    <row r="432" ht="15.75" customHeight="1">
      <c r="N432" s="27"/>
    </row>
    <row r="433" ht="15.75" customHeight="1">
      <c r="N433" s="27"/>
    </row>
    <row r="434" ht="15.75" customHeight="1">
      <c r="N434" s="27"/>
    </row>
    <row r="435" ht="15.75" customHeight="1">
      <c r="N435" s="27"/>
    </row>
    <row r="436" ht="15.75" customHeight="1">
      <c r="N436" s="27"/>
    </row>
    <row r="437" ht="15.75" customHeight="1">
      <c r="N437" s="27"/>
    </row>
    <row r="438" ht="15.75" customHeight="1">
      <c r="N438" s="27"/>
    </row>
    <row r="439" ht="15.75" customHeight="1">
      <c r="N439" s="27"/>
    </row>
    <row r="440" ht="15.75" customHeight="1">
      <c r="N440" s="27"/>
    </row>
    <row r="441" ht="15.75" customHeight="1">
      <c r="N441" s="27"/>
    </row>
    <row r="442" ht="15.75" customHeight="1">
      <c r="N442" s="27"/>
    </row>
    <row r="443" ht="15.75" customHeight="1">
      <c r="N443" s="27"/>
    </row>
    <row r="444" ht="15.75" customHeight="1">
      <c r="N444" s="27"/>
    </row>
    <row r="445" ht="15.75" customHeight="1">
      <c r="N445" s="27"/>
    </row>
    <row r="446" ht="15.75" customHeight="1">
      <c r="N446" s="27"/>
    </row>
    <row r="447" ht="15.75" customHeight="1">
      <c r="N447" s="27"/>
    </row>
    <row r="448" ht="15.75" customHeight="1">
      <c r="N448" s="27"/>
    </row>
    <row r="449" ht="15.75" customHeight="1">
      <c r="N449" s="27"/>
    </row>
    <row r="450" ht="15.75" customHeight="1">
      <c r="N450" s="27"/>
    </row>
    <row r="451" ht="15.75" customHeight="1">
      <c r="N451" s="27"/>
    </row>
    <row r="452" ht="15.75" customHeight="1">
      <c r="N452" s="27"/>
    </row>
    <row r="453" ht="15.75" customHeight="1">
      <c r="N453" s="27"/>
    </row>
    <row r="454" ht="15.75" customHeight="1">
      <c r="N454" s="27"/>
    </row>
    <row r="455" ht="15.75" customHeight="1">
      <c r="N455" s="27"/>
    </row>
    <row r="456" ht="15.75" customHeight="1">
      <c r="N456" s="27"/>
    </row>
    <row r="457" ht="15.75" customHeight="1">
      <c r="N457" s="27"/>
    </row>
    <row r="458" ht="15.75" customHeight="1">
      <c r="N458" s="27"/>
    </row>
    <row r="459" ht="15.75" customHeight="1">
      <c r="N459" s="27"/>
    </row>
    <row r="460" ht="15.75" customHeight="1">
      <c r="N460" s="27"/>
    </row>
    <row r="461" ht="15.75" customHeight="1">
      <c r="N461" s="27"/>
    </row>
    <row r="462" ht="15.75" customHeight="1">
      <c r="N462" s="27"/>
    </row>
    <row r="463" ht="15.75" customHeight="1">
      <c r="N463" s="27"/>
    </row>
    <row r="464" ht="15.75" customHeight="1">
      <c r="N464" s="27"/>
    </row>
    <row r="465" ht="15.75" customHeight="1">
      <c r="N465" s="27"/>
    </row>
    <row r="466" ht="15.75" customHeight="1">
      <c r="N466" s="27"/>
    </row>
    <row r="467" ht="15.75" customHeight="1">
      <c r="N467" s="27"/>
    </row>
    <row r="468" ht="15.75" customHeight="1">
      <c r="N468" s="27"/>
    </row>
    <row r="469" ht="15.75" customHeight="1">
      <c r="N469" s="27"/>
    </row>
    <row r="470" ht="15.75" customHeight="1">
      <c r="N470" s="27"/>
    </row>
    <row r="471" ht="15.75" customHeight="1">
      <c r="N471" s="27"/>
    </row>
    <row r="472" ht="15.75" customHeight="1">
      <c r="N472" s="27"/>
    </row>
    <row r="473" ht="15.75" customHeight="1">
      <c r="N473" s="27"/>
    </row>
    <row r="474" ht="15.75" customHeight="1">
      <c r="N474" s="27"/>
    </row>
    <row r="475" ht="15.75" customHeight="1">
      <c r="N475" s="27"/>
    </row>
    <row r="476" ht="15.75" customHeight="1">
      <c r="N476" s="27"/>
    </row>
    <row r="477" ht="15.75" customHeight="1">
      <c r="N477" s="27"/>
    </row>
    <row r="478" ht="15.75" customHeight="1">
      <c r="N478" s="27"/>
    </row>
    <row r="479" ht="15.75" customHeight="1">
      <c r="N479" s="27"/>
    </row>
    <row r="480" ht="15.75" customHeight="1">
      <c r="N480" s="27"/>
    </row>
    <row r="481" ht="15.75" customHeight="1">
      <c r="N481" s="27"/>
    </row>
    <row r="482" ht="15.75" customHeight="1">
      <c r="N482" s="27"/>
    </row>
    <row r="483" ht="15.75" customHeight="1">
      <c r="N483" s="27"/>
    </row>
    <row r="484" ht="15.75" customHeight="1">
      <c r="N484" s="27"/>
    </row>
    <row r="485" ht="15.75" customHeight="1">
      <c r="N485" s="27"/>
    </row>
    <row r="486" ht="15.75" customHeight="1">
      <c r="N486" s="27"/>
    </row>
    <row r="487" ht="15.75" customHeight="1">
      <c r="N487" s="27"/>
    </row>
    <row r="488" ht="15.75" customHeight="1">
      <c r="N488" s="27"/>
    </row>
    <row r="489" ht="15.75" customHeight="1">
      <c r="N489" s="27"/>
    </row>
    <row r="490" ht="15.75" customHeight="1">
      <c r="N490" s="27"/>
    </row>
    <row r="491" ht="15.75" customHeight="1">
      <c r="N491" s="27"/>
    </row>
    <row r="492" ht="15.75" customHeight="1">
      <c r="N492" s="27"/>
    </row>
    <row r="493" ht="15.75" customHeight="1">
      <c r="N493" s="27"/>
    </row>
    <row r="494" ht="15.75" customHeight="1">
      <c r="N494" s="27"/>
    </row>
    <row r="495" ht="15.75" customHeight="1">
      <c r="N495" s="27"/>
    </row>
    <row r="496" ht="15.75" customHeight="1">
      <c r="N496" s="27"/>
    </row>
    <row r="497" ht="15.75" customHeight="1">
      <c r="N497" s="27"/>
    </row>
    <row r="498" ht="15.75" customHeight="1">
      <c r="N498" s="27"/>
    </row>
    <row r="499" ht="15.75" customHeight="1">
      <c r="N499" s="27"/>
    </row>
    <row r="500" ht="15.75" customHeight="1">
      <c r="N500" s="27"/>
    </row>
    <row r="501" ht="15.75" customHeight="1">
      <c r="N501" s="27"/>
    </row>
    <row r="502" ht="15.75" customHeight="1">
      <c r="N502" s="27"/>
    </row>
    <row r="503" ht="15.75" customHeight="1">
      <c r="N503" s="27"/>
    </row>
    <row r="504" ht="15.75" customHeight="1">
      <c r="N504" s="27"/>
    </row>
    <row r="505" ht="15.75" customHeight="1">
      <c r="N505" s="27"/>
    </row>
    <row r="506" ht="15.75" customHeight="1">
      <c r="N506" s="27"/>
    </row>
    <row r="507" ht="15.75" customHeight="1">
      <c r="N507" s="27"/>
    </row>
    <row r="508" ht="15.75" customHeight="1">
      <c r="N508" s="27"/>
    </row>
    <row r="509" ht="15.75" customHeight="1">
      <c r="N509" s="27"/>
    </row>
    <row r="510" ht="15.75" customHeight="1">
      <c r="N510" s="27"/>
    </row>
    <row r="511" ht="15.75" customHeight="1">
      <c r="N511" s="27"/>
    </row>
    <row r="512" ht="15.75" customHeight="1">
      <c r="N512" s="27"/>
    </row>
    <row r="513" ht="15.75" customHeight="1">
      <c r="N513" s="27"/>
    </row>
    <row r="514" ht="15.75" customHeight="1">
      <c r="N514" s="27"/>
    </row>
    <row r="515" ht="15.75" customHeight="1">
      <c r="N515" s="27"/>
    </row>
    <row r="516" ht="15.75" customHeight="1">
      <c r="N516" s="27"/>
    </row>
    <row r="517" ht="15.75" customHeight="1">
      <c r="N517" s="27"/>
    </row>
    <row r="518" ht="15.75" customHeight="1">
      <c r="N518" s="27"/>
    </row>
    <row r="519" ht="15.75" customHeight="1">
      <c r="N519" s="27"/>
    </row>
    <row r="520" ht="15.75" customHeight="1">
      <c r="N520" s="27"/>
    </row>
    <row r="521" ht="15.75" customHeight="1">
      <c r="N521" s="27"/>
    </row>
    <row r="522" ht="15.75" customHeight="1">
      <c r="N522" s="27"/>
    </row>
    <row r="523" ht="15.75" customHeight="1">
      <c r="N523" s="27"/>
    </row>
    <row r="524" ht="15.75" customHeight="1">
      <c r="N524" s="27"/>
    </row>
    <row r="525" ht="15.75" customHeight="1">
      <c r="N525" s="27"/>
    </row>
    <row r="526" ht="15.75" customHeight="1">
      <c r="N526" s="27"/>
    </row>
    <row r="527" ht="15.75" customHeight="1">
      <c r="N527" s="27"/>
    </row>
    <row r="528" ht="15.75" customHeight="1">
      <c r="N528" s="27"/>
    </row>
    <row r="529" ht="15.75" customHeight="1">
      <c r="N529" s="27"/>
    </row>
    <row r="530" ht="15.75" customHeight="1">
      <c r="N530" s="27"/>
    </row>
    <row r="531" ht="15.75" customHeight="1">
      <c r="N531" s="27"/>
    </row>
    <row r="532" ht="15.75" customHeight="1">
      <c r="N532" s="27"/>
    </row>
    <row r="533" ht="15.75" customHeight="1">
      <c r="N533" s="27"/>
    </row>
    <row r="534" ht="15.75" customHeight="1">
      <c r="N534" s="27"/>
    </row>
    <row r="535" ht="15.75" customHeight="1">
      <c r="N535" s="27"/>
    </row>
    <row r="536" ht="15.75" customHeight="1">
      <c r="N536" s="27"/>
    </row>
    <row r="537" ht="15.75" customHeight="1">
      <c r="N537" s="27"/>
    </row>
    <row r="538" ht="15.75" customHeight="1">
      <c r="N538" s="27"/>
    </row>
    <row r="539" ht="15.75" customHeight="1">
      <c r="N539" s="27"/>
    </row>
    <row r="540" ht="15.75" customHeight="1">
      <c r="N540" s="27"/>
    </row>
    <row r="541" ht="15.75" customHeight="1">
      <c r="N541" s="27"/>
    </row>
    <row r="542" ht="15.75" customHeight="1">
      <c r="N542" s="27"/>
    </row>
    <row r="543" ht="15.75" customHeight="1">
      <c r="N543" s="27"/>
    </row>
    <row r="544" ht="15.75" customHeight="1">
      <c r="N544" s="27"/>
    </row>
    <row r="545" ht="15.75" customHeight="1">
      <c r="N545" s="27"/>
    </row>
    <row r="546" ht="15.75" customHeight="1">
      <c r="N546" s="27"/>
    </row>
    <row r="547" ht="15.75" customHeight="1">
      <c r="N547" s="27"/>
    </row>
    <row r="548" ht="15.75" customHeight="1">
      <c r="N548" s="27"/>
    </row>
    <row r="549" ht="15.75" customHeight="1">
      <c r="N549" s="27"/>
    </row>
    <row r="550" ht="15.75" customHeight="1">
      <c r="N550" s="27"/>
    </row>
    <row r="551" ht="15.75" customHeight="1">
      <c r="N551" s="27"/>
    </row>
    <row r="552" ht="15.75" customHeight="1">
      <c r="N552" s="27"/>
    </row>
    <row r="553" ht="15.75" customHeight="1">
      <c r="N553" s="27"/>
    </row>
    <row r="554" ht="15.75" customHeight="1">
      <c r="N554" s="27"/>
    </row>
    <row r="555" ht="15.75" customHeight="1">
      <c r="N555" s="27"/>
    </row>
    <row r="556" ht="15.75" customHeight="1">
      <c r="N556" s="27"/>
    </row>
    <row r="557" ht="15.75" customHeight="1">
      <c r="N557" s="27"/>
    </row>
    <row r="558" ht="15.75" customHeight="1">
      <c r="N558" s="27"/>
    </row>
    <row r="559" ht="15.75" customHeight="1">
      <c r="N559" s="27"/>
    </row>
    <row r="560" ht="15.75" customHeight="1">
      <c r="N560" s="27"/>
    </row>
    <row r="561" ht="15.75" customHeight="1">
      <c r="N561" s="27"/>
    </row>
    <row r="562" ht="15.75" customHeight="1">
      <c r="N562" s="27"/>
    </row>
    <row r="563" ht="15.75" customHeight="1">
      <c r="N563" s="27"/>
    </row>
    <row r="564" ht="15.75" customHeight="1">
      <c r="N564" s="27"/>
    </row>
    <row r="565" ht="15.75" customHeight="1">
      <c r="N565" s="27"/>
    </row>
    <row r="566" ht="15.75" customHeight="1">
      <c r="N566" s="27"/>
    </row>
    <row r="567" ht="15.75" customHeight="1">
      <c r="N567" s="27"/>
    </row>
    <row r="568" ht="15.75" customHeight="1">
      <c r="N568" s="27"/>
    </row>
    <row r="569" ht="15.75" customHeight="1">
      <c r="N569" s="27"/>
    </row>
    <row r="570" ht="15.75" customHeight="1">
      <c r="N570" s="27"/>
    </row>
    <row r="571" ht="15.75" customHeight="1">
      <c r="N571" s="27"/>
    </row>
    <row r="572" ht="15.75" customHeight="1">
      <c r="N572" s="27"/>
    </row>
    <row r="573" ht="15.75" customHeight="1">
      <c r="N573" s="27"/>
    </row>
    <row r="574" ht="15.75" customHeight="1">
      <c r="N574" s="27"/>
    </row>
    <row r="575" ht="15.75" customHeight="1">
      <c r="N575" s="27"/>
    </row>
    <row r="576" ht="15.75" customHeight="1">
      <c r="N576" s="27"/>
    </row>
    <row r="577" ht="15.75" customHeight="1">
      <c r="N577" s="27"/>
    </row>
    <row r="578" ht="15.75" customHeight="1">
      <c r="N578" s="27"/>
    </row>
    <row r="579" ht="15.75" customHeight="1">
      <c r="N579" s="27"/>
    </row>
    <row r="580" ht="15.75" customHeight="1">
      <c r="N580" s="27"/>
    </row>
    <row r="581" ht="15.75" customHeight="1">
      <c r="N581" s="27"/>
    </row>
    <row r="582" ht="15.75" customHeight="1">
      <c r="N582" s="27"/>
    </row>
    <row r="583" ht="15.75" customHeight="1">
      <c r="N583" s="27"/>
    </row>
    <row r="584" ht="15.75" customHeight="1">
      <c r="N584" s="27"/>
    </row>
    <row r="585" ht="15.75" customHeight="1">
      <c r="N585" s="27"/>
    </row>
    <row r="586" ht="15.75" customHeight="1">
      <c r="N586" s="27"/>
    </row>
    <row r="587" ht="15.75" customHeight="1">
      <c r="N587" s="27"/>
    </row>
    <row r="588" ht="15.75" customHeight="1">
      <c r="N588" s="27"/>
    </row>
    <row r="589" ht="15.75" customHeight="1">
      <c r="N589" s="27"/>
    </row>
    <row r="590" ht="15.75" customHeight="1">
      <c r="N590" s="27"/>
    </row>
    <row r="591" ht="15.75" customHeight="1">
      <c r="N591" s="27"/>
    </row>
    <row r="592" ht="15.75" customHeight="1">
      <c r="N592" s="27"/>
    </row>
    <row r="593" ht="15.75" customHeight="1">
      <c r="N593" s="27"/>
    </row>
    <row r="594" ht="15.75" customHeight="1">
      <c r="N594" s="27"/>
    </row>
    <row r="595" ht="15.75" customHeight="1">
      <c r="N595" s="27"/>
    </row>
    <row r="596" ht="15.75" customHeight="1">
      <c r="N596" s="27"/>
    </row>
    <row r="597" ht="15.75" customHeight="1">
      <c r="N597" s="27"/>
    </row>
    <row r="598" ht="15.75" customHeight="1">
      <c r="N598" s="27"/>
    </row>
    <row r="599" ht="15.75" customHeight="1">
      <c r="N599" s="27"/>
    </row>
    <row r="600" ht="15.75" customHeight="1">
      <c r="N600" s="27"/>
    </row>
    <row r="601" ht="15.75" customHeight="1">
      <c r="N601" s="27"/>
    </row>
    <row r="602" ht="15.75" customHeight="1">
      <c r="N602" s="27"/>
    </row>
    <row r="603" ht="15.75" customHeight="1">
      <c r="N603" s="27"/>
    </row>
    <row r="604" ht="15.75" customHeight="1">
      <c r="N604" s="27"/>
    </row>
    <row r="605" ht="15.75" customHeight="1">
      <c r="N605" s="27"/>
    </row>
    <row r="606" ht="15.75" customHeight="1">
      <c r="N606" s="27"/>
    </row>
    <row r="607" ht="15.75" customHeight="1">
      <c r="N607" s="27"/>
    </row>
    <row r="608" ht="15.75" customHeight="1">
      <c r="N608" s="27"/>
    </row>
    <row r="609" ht="15.75" customHeight="1">
      <c r="N609" s="27"/>
    </row>
    <row r="610" ht="15.75" customHeight="1">
      <c r="N610" s="27"/>
    </row>
    <row r="611" ht="15.75" customHeight="1">
      <c r="N611" s="27"/>
    </row>
    <row r="612" ht="15.75" customHeight="1">
      <c r="N612" s="27"/>
    </row>
    <row r="613" ht="15.75" customHeight="1">
      <c r="N613" s="27"/>
    </row>
    <row r="614" ht="15.75" customHeight="1">
      <c r="N614" s="27"/>
    </row>
    <row r="615" ht="15.75" customHeight="1">
      <c r="N615" s="27"/>
    </row>
    <row r="616" ht="15.75" customHeight="1">
      <c r="N616" s="27"/>
    </row>
    <row r="617" ht="15.75" customHeight="1">
      <c r="N617" s="27"/>
    </row>
    <row r="618" ht="15.75" customHeight="1">
      <c r="N618" s="27"/>
    </row>
    <row r="619" ht="15.75" customHeight="1">
      <c r="N619" s="27"/>
    </row>
    <row r="620" ht="15.75" customHeight="1">
      <c r="N620" s="27"/>
    </row>
    <row r="621" ht="15.75" customHeight="1">
      <c r="N621" s="27"/>
    </row>
    <row r="622" ht="15.75" customHeight="1">
      <c r="N622" s="27"/>
    </row>
    <row r="623" ht="15.75" customHeight="1">
      <c r="N623" s="27"/>
    </row>
    <row r="624" ht="15.75" customHeight="1">
      <c r="N624" s="27"/>
    </row>
    <row r="625" ht="15.75" customHeight="1">
      <c r="N625" s="27"/>
    </row>
    <row r="626" ht="15.75" customHeight="1">
      <c r="N626" s="27"/>
    </row>
    <row r="627" ht="15.75" customHeight="1">
      <c r="N627" s="27"/>
    </row>
    <row r="628" ht="15.75" customHeight="1">
      <c r="N628" s="27"/>
    </row>
    <row r="629" ht="15.75" customHeight="1">
      <c r="N629" s="27"/>
    </row>
    <row r="630" ht="15.75" customHeight="1">
      <c r="N630" s="27"/>
    </row>
    <row r="631" ht="15.75" customHeight="1">
      <c r="N631" s="27"/>
    </row>
    <row r="632" ht="15.75" customHeight="1">
      <c r="N632" s="27"/>
    </row>
    <row r="633" ht="15.75" customHeight="1">
      <c r="N633" s="27"/>
    </row>
    <row r="634" ht="15.75" customHeight="1">
      <c r="N634" s="27"/>
    </row>
    <row r="635" ht="15.75" customHeight="1">
      <c r="N635" s="27"/>
    </row>
    <row r="636" ht="15.75" customHeight="1">
      <c r="N636" s="27"/>
    </row>
    <row r="637" ht="15.75" customHeight="1">
      <c r="N637" s="27"/>
    </row>
    <row r="638" ht="15.75" customHeight="1">
      <c r="N638" s="27"/>
    </row>
    <row r="639" ht="15.75" customHeight="1">
      <c r="N639" s="27"/>
    </row>
    <row r="640" ht="15.75" customHeight="1">
      <c r="N640" s="27"/>
    </row>
    <row r="641" ht="15.75" customHeight="1">
      <c r="N641" s="27"/>
    </row>
    <row r="642" ht="15.75" customHeight="1">
      <c r="N642" s="27"/>
    </row>
    <row r="643" ht="15.75" customHeight="1">
      <c r="N643" s="27"/>
    </row>
    <row r="644" ht="15.75" customHeight="1">
      <c r="N644" s="27"/>
    </row>
    <row r="645" ht="15.75" customHeight="1">
      <c r="N645" s="27"/>
    </row>
    <row r="646" ht="15.75" customHeight="1">
      <c r="N646" s="27"/>
    </row>
    <row r="647" ht="15.75" customHeight="1">
      <c r="N647" s="27"/>
    </row>
    <row r="648" ht="15.75" customHeight="1">
      <c r="N648" s="27"/>
    </row>
    <row r="649" ht="15.75" customHeight="1">
      <c r="N649" s="27"/>
    </row>
    <row r="650" ht="15.75" customHeight="1">
      <c r="N650" s="27"/>
    </row>
    <row r="651" ht="15.75" customHeight="1">
      <c r="N651" s="27"/>
    </row>
    <row r="652" ht="15.75" customHeight="1">
      <c r="N652" s="27"/>
    </row>
    <row r="653" ht="15.75" customHeight="1">
      <c r="N653" s="27"/>
    </row>
    <row r="654" ht="15.75" customHeight="1">
      <c r="N654" s="27"/>
    </row>
    <row r="655" ht="15.75" customHeight="1">
      <c r="N655" s="27"/>
    </row>
    <row r="656" ht="15.75" customHeight="1">
      <c r="N656" s="27"/>
    </row>
    <row r="657" ht="15.75" customHeight="1">
      <c r="N657" s="27"/>
    </row>
    <row r="658" ht="15.75" customHeight="1">
      <c r="N658" s="27"/>
    </row>
    <row r="659" ht="15.75" customHeight="1">
      <c r="N659" s="27"/>
    </row>
    <row r="660" ht="15.75" customHeight="1">
      <c r="N660" s="27"/>
    </row>
    <row r="661" ht="15.75" customHeight="1">
      <c r="N661" s="27"/>
    </row>
    <row r="662" ht="15.75" customHeight="1">
      <c r="N662" s="27"/>
    </row>
    <row r="663" ht="15.75" customHeight="1">
      <c r="N663" s="27"/>
    </row>
    <row r="664" ht="15.75" customHeight="1">
      <c r="N664" s="27"/>
    </row>
    <row r="665" ht="15.75" customHeight="1">
      <c r="N665" s="27"/>
    </row>
    <row r="666" ht="15.75" customHeight="1">
      <c r="N666" s="27"/>
    </row>
    <row r="667" ht="15.75" customHeight="1">
      <c r="N667" s="27"/>
    </row>
    <row r="668" ht="15.75" customHeight="1">
      <c r="N668" s="27"/>
    </row>
    <row r="669" ht="15.75" customHeight="1">
      <c r="N669" s="27"/>
    </row>
    <row r="670" ht="15.75" customHeight="1">
      <c r="N670" s="27"/>
    </row>
    <row r="671" ht="15.75" customHeight="1">
      <c r="N671" s="27"/>
    </row>
    <row r="672" ht="15.75" customHeight="1">
      <c r="N672" s="27"/>
    </row>
    <row r="673" ht="15.75" customHeight="1">
      <c r="N673" s="27"/>
    </row>
    <row r="674" ht="15.75" customHeight="1">
      <c r="N674" s="27"/>
    </row>
    <row r="675" ht="15.75" customHeight="1">
      <c r="N675" s="27"/>
    </row>
    <row r="676" ht="15.75" customHeight="1">
      <c r="N676" s="27"/>
    </row>
    <row r="677" ht="15.75" customHeight="1">
      <c r="N677" s="27"/>
    </row>
    <row r="678" ht="15.75" customHeight="1">
      <c r="N678" s="27"/>
    </row>
    <row r="679" ht="15.75" customHeight="1">
      <c r="N679" s="27"/>
    </row>
    <row r="680" ht="15.75" customHeight="1">
      <c r="N680" s="27"/>
    </row>
    <row r="681" ht="15.75" customHeight="1">
      <c r="N681" s="27"/>
    </row>
    <row r="682" ht="15.75" customHeight="1">
      <c r="N682" s="27"/>
    </row>
    <row r="683" ht="15.75" customHeight="1">
      <c r="N683" s="27"/>
    </row>
    <row r="684" ht="15.75" customHeight="1">
      <c r="N684" s="27"/>
    </row>
    <row r="685" ht="15.75" customHeight="1">
      <c r="N685" s="27"/>
    </row>
    <row r="686" ht="15.75" customHeight="1">
      <c r="N686" s="27"/>
    </row>
    <row r="687" ht="15.75" customHeight="1">
      <c r="N687" s="27"/>
    </row>
    <row r="688" ht="15.75" customHeight="1">
      <c r="N688" s="27"/>
    </row>
    <row r="689" ht="15.75" customHeight="1">
      <c r="N689" s="27"/>
    </row>
    <row r="690" ht="15.75" customHeight="1">
      <c r="N690" s="27"/>
    </row>
    <row r="691" ht="15.75" customHeight="1">
      <c r="N691" s="27"/>
    </row>
    <row r="692" ht="15.75" customHeight="1">
      <c r="N692" s="27"/>
    </row>
    <row r="693" ht="15.75" customHeight="1">
      <c r="N693" s="27"/>
    </row>
    <row r="694" ht="15.75" customHeight="1">
      <c r="N694" s="27"/>
    </row>
    <row r="695" ht="15.75" customHeight="1">
      <c r="N695" s="27"/>
    </row>
    <row r="696" ht="15.75" customHeight="1">
      <c r="N696" s="27"/>
    </row>
    <row r="697" ht="15.75" customHeight="1">
      <c r="N697" s="27"/>
    </row>
    <row r="698" ht="15.75" customHeight="1">
      <c r="N698" s="27"/>
    </row>
    <row r="699" ht="15.75" customHeight="1">
      <c r="N699" s="27"/>
    </row>
    <row r="700" ht="15.75" customHeight="1">
      <c r="N700" s="27"/>
    </row>
    <row r="701" ht="15.75" customHeight="1">
      <c r="N701" s="27"/>
    </row>
    <row r="702" ht="15.75" customHeight="1">
      <c r="N702" s="27"/>
    </row>
    <row r="703" ht="15.75" customHeight="1">
      <c r="N703" s="27"/>
    </row>
    <row r="704" ht="15.75" customHeight="1">
      <c r="N704" s="27"/>
    </row>
    <row r="705" ht="15.75" customHeight="1">
      <c r="N705" s="27"/>
    </row>
    <row r="706" ht="15.75" customHeight="1">
      <c r="N706" s="27"/>
    </row>
    <row r="707" ht="15.75" customHeight="1">
      <c r="N707" s="27"/>
    </row>
    <row r="708" ht="15.75" customHeight="1">
      <c r="N708" s="27"/>
    </row>
    <row r="709" ht="15.75" customHeight="1">
      <c r="N709" s="27"/>
    </row>
    <row r="710" ht="15.75" customHeight="1">
      <c r="N710" s="27"/>
    </row>
    <row r="711" ht="15.75" customHeight="1">
      <c r="N711" s="27"/>
    </row>
    <row r="712" ht="15.75" customHeight="1">
      <c r="N712" s="27"/>
    </row>
    <row r="713" ht="15.75" customHeight="1">
      <c r="N713" s="27"/>
    </row>
    <row r="714" ht="15.75" customHeight="1">
      <c r="N714" s="27"/>
    </row>
    <row r="715" ht="15.75" customHeight="1">
      <c r="N715" s="27"/>
    </row>
    <row r="716" ht="15.75" customHeight="1">
      <c r="N716" s="27"/>
    </row>
    <row r="717" ht="15.75" customHeight="1">
      <c r="N717" s="27"/>
    </row>
    <row r="718" ht="15.75" customHeight="1">
      <c r="N718" s="27"/>
    </row>
    <row r="719" ht="15.75" customHeight="1">
      <c r="N719" s="27"/>
    </row>
    <row r="720" ht="15.75" customHeight="1">
      <c r="N720" s="27"/>
    </row>
    <row r="721" ht="15.75" customHeight="1">
      <c r="N721" s="27"/>
    </row>
    <row r="722" ht="15.75" customHeight="1">
      <c r="N722" s="27"/>
    </row>
    <row r="723" ht="15.75" customHeight="1">
      <c r="N723" s="27"/>
    </row>
    <row r="724" ht="15.75" customHeight="1">
      <c r="N724" s="27"/>
    </row>
    <row r="725" ht="15.75" customHeight="1">
      <c r="N725" s="27"/>
    </row>
    <row r="726" ht="15.75" customHeight="1">
      <c r="N726" s="27"/>
    </row>
    <row r="727" ht="15.75" customHeight="1">
      <c r="N727" s="27"/>
    </row>
    <row r="728" ht="15.75" customHeight="1">
      <c r="N728" s="27"/>
    </row>
    <row r="729" ht="15.75" customHeight="1">
      <c r="N729" s="27"/>
    </row>
    <row r="730" ht="15.75" customHeight="1">
      <c r="N730" s="27"/>
    </row>
    <row r="731" ht="15.75" customHeight="1">
      <c r="N731" s="27"/>
    </row>
    <row r="732" ht="15.75" customHeight="1">
      <c r="N732" s="27"/>
    </row>
    <row r="733" ht="15.75" customHeight="1">
      <c r="N733" s="27"/>
    </row>
    <row r="734" ht="15.75" customHeight="1">
      <c r="N734" s="27"/>
    </row>
    <row r="735" ht="15.75" customHeight="1">
      <c r="N735" s="27"/>
    </row>
    <row r="736" ht="15.75" customHeight="1">
      <c r="N736" s="27"/>
    </row>
    <row r="737" ht="15.75" customHeight="1">
      <c r="N737" s="27"/>
    </row>
    <row r="738" ht="15.75" customHeight="1">
      <c r="N738" s="27"/>
    </row>
    <row r="739" ht="15.75" customHeight="1">
      <c r="N739" s="27"/>
    </row>
    <row r="740" ht="15.75" customHeight="1">
      <c r="N740" s="27"/>
    </row>
    <row r="741" ht="15.75" customHeight="1">
      <c r="N741" s="27"/>
    </row>
    <row r="742" ht="15.75" customHeight="1">
      <c r="N742" s="27"/>
    </row>
    <row r="743" ht="15.75" customHeight="1">
      <c r="N743" s="27"/>
    </row>
    <row r="744" ht="15.75" customHeight="1">
      <c r="N744" s="27"/>
    </row>
    <row r="745" ht="15.75" customHeight="1">
      <c r="N745" s="27"/>
    </row>
    <row r="746" ht="15.75" customHeight="1">
      <c r="N746" s="27"/>
    </row>
    <row r="747" ht="15.75" customHeight="1">
      <c r="N747" s="27"/>
    </row>
    <row r="748" ht="15.75" customHeight="1">
      <c r="N748" s="27"/>
    </row>
    <row r="749" ht="15.75" customHeight="1">
      <c r="N749" s="27"/>
    </row>
    <row r="750" ht="15.75" customHeight="1">
      <c r="N750" s="27"/>
    </row>
    <row r="751" ht="15.75" customHeight="1">
      <c r="N751" s="27"/>
    </row>
    <row r="752" ht="15.75" customHeight="1">
      <c r="N752" s="27"/>
    </row>
    <row r="753" ht="15.75" customHeight="1">
      <c r="N753" s="27"/>
    </row>
    <row r="754" ht="15.75" customHeight="1">
      <c r="N754" s="27"/>
    </row>
    <row r="755" ht="15.75" customHeight="1">
      <c r="N755" s="27"/>
    </row>
    <row r="756" ht="15.75" customHeight="1">
      <c r="N756" s="27"/>
    </row>
    <row r="757" ht="15.75" customHeight="1">
      <c r="N757" s="27"/>
    </row>
    <row r="758" ht="15.75" customHeight="1">
      <c r="N758" s="27"/>
    </row>
    <row r="759" ht="15.75" customHeight="1">
      <c r="N759" s="27"/>
    </row>
    <row r="760" ht="15.75" customHeight="1">
      <c r="N760" s="27"/>
    </row>
    <row r="761" ht="15.75" customHeight="1">
      <c r="N761" s="27"/>
    </row>
    <row r="762" ht="15.75" customHeight="1">
      <c r="N762" s="27"/>
    </row>
    <row r="763" ht="15.75" customHeight="1">
      <c r="N763" s="27"/>
    </row>
    <row r="764" ht="15.75" customHeight="1">
      <c r="N764" s="27"/>
    </row>
    <row r="765" ht="15.75" customHeight="1">
      <c r="N765" s="27"/>
    </row>
    <row r="766" ht="15.75" customHeight="1">
      <c r="N766" s="27"/>
    </row>
    <row r="767" ht="15.75" customHeight="1">
      <c r="N767" s="27"/>
    </row>
    <row r="768" ht="15.75" customHeight="1">
      <c r="N768" s="27"/>
    </row>
    <row r="769" ht="15.75" customHeight="1">
      <c r="N769" s="27"/>
    </row>
    <row r="770" ht="15.75" customHeight="1">
      <c r="N770" s="27"/>
    </row>
    <row r="771" ht="15.75" customHeight="1">
      <c r="N771" s="27"/>
    </row>
    <row r="772" ht="15.75" customHeight="1">
      <c r="N772" s="27"/>
    </row>
    <row r="773" ht="15.75" customHeight="1">
      <c r="N773" s="27"/>
    </row>
    <row r="774" ht="15.75" customHeight="1">
      <c r="N774" s="27"/>
    </row>
    <row r="775" ht="15.75" customHeight="1">
      <c r="N775" s="27"/>
    </row>
    <row r="776" ht="15.75" customHeight="1">
      <c r="N776" s="27"/>
    </row>
    <row r="777" ht="15.75" customHeight="1">
      <c r="N777" s="27"/>
    </row>
    <row r="778" ht="15.75" customHeight="1">
      <c r="N778" s="27"/>
    </row>
    <row r="779" ht="15.75" customHeight="1">
      <c r="N779" s="27"/>
    </row>
    <row r="780" ht="15.75" customHeight="1">
      <c r="N780" s="27"/>
    </row>
    <row r="781" ht="15.75" customHeight="1">
      <c r="N781" s="27"/>
    </row>
    <row r="782" ht="15.75" customHeight="1">
      <c r="N782" s="27"/>
    </row>
    <row r="783" ht="15.75" customHeight="1">
      <c r="N783" s="27"/>
    </row>
    <row r="784" ht="15.75" customHeight="1">
      <c r="N784" s="27"/>
    </row>
    <row r="785" ht="15.75" customHeight="1">
      <c r="N785" s="27"/>
    </row>
    <row r="786" ht="15.75" customHeight="1">
      <c r="N786" s="27"/>
    </row>
    <row r="787" ht="15.75" customHeight="1">
      <c r="N787" s="27"/>
    </row>
    <row r="788" ht="15.75" customHeight="1">
      <c r="N788" s="27"/>
    </row>
    <row r="789" ht="15.75" customHeight="1">
      <c r="N789" s="27"/>
    </row>
    <row r="790" ht="15.75" customHeight="1">
      <c r="N790" s="27"/>
    </row>
    <row r="791" ht="15.75" customHeight="1">
      <c r="N791" s="27"/>
    </row>
    <row r="792" ht="15.75" customHeight="1">
      <c r="N792" s="27"/>
    </row>
    <row r="793" ht="15.75" customHeight="1">
      <c r="N793" s="27"/>
    </row>
    <row r="794" ht="15.75" customHeight="1">
      <c r="N794" s="27"/>
    </row>
    <row r="795" ht="15.75" customHeight="1">
      <c r="N795" s="27"/>
    </row>
    <row r="796" ht="15.75" customHeight="1">
      <c r="N796" s="27"/>
    </row>
    <row r="797" ht="15.75" customHeight="1">
      <c r="N797" s="27"/>
    </row>
    <row r="798" ht="15.75" customHeight="1">
      <c r="N798" s="27"/>
    </row>
    <row r="799" ht="15.75" customHeight="1">
      <c r="N799" s="27"/>
    </row>
    <row r="800" ht="15.75" customHeight="1">
      <c r="N800" s="27"/>
    </row>
    <row r="801" ht="15.75" customHeight="1">
      <c r="N801" s="27"/>
    </row>
    <row r="802" ht="15.75" customHeight="1">
      <c r="N802" s="27"/>
    </row>
    <row r="803" ht="15.75" customHeight="1">
      <c r="N803" s="27"/>
    </row>
    <row r="804" ht="15.75" customHeight="1">
      <c r="N804" s="27"/>
    </row>
    <row r="805" ht="15.75" customHeight="1">
      <c r="N805" s="27"/>
    </row>
    <row r="806" ht="15.75" customHeight="1">
      <c r="N806" s="27"/>
    </row>
    <row r="807" ht="15.75" customHeight="1">
      <c r="N807" s="27"/>
    </row>
    <row r="808" ht="15.75" customHeight="1">
      <c r="N808" s="27"/>
    </row>
    <row r="809" ht="15.75" customHeight="1">
      <c r="N809" s="27"/>
    </row>
    <row r="810" ht="15.75" customHeight="1">
      <c r="N810" s="27"/>
    </row>
    <row r="811" ht="15.75" customHeight="1">
      <c r="N811" s="27"/>
    </row>
    <row r="812" ht="15.75" customHeight="1">
      <c r="N812" s="27"/>
    </row>
    <row r="813" ht="15.75" customHeight="1">
      <c r="N813" s="27"/>
    </row>
    <row r="814" ht="15.75" customHeight="1">
      <c r="N814" s="27"/>
    </row>
    <row r="815" ht="15.75" customHeight="1">
      <c r="N815" s="27"/>
    </row>
    <row r="816" ht="15.75" customHeight="1">
      <c r="N816" s="27"/>
    </row>
    <row r="817" ht="15.75" customHeight="1">
      <c r="N817" s="27"/>
    </row>
    <row r="818" ht="15.75" customHeight="1">
      <c r="N818" s="27"/>
    </row>
    <row r="819" ht="15.75" customHeight="1">
      <c r="N819" s="27"/>
    </row>
    <row r="820" ht="15.75" customHeight="1">
      <c r="N820" s="27"/>
    </row>
    <row r="821" ht="15.75" customHeight="1">
      <c r="N821" s="27"/>
    </row>
    <row r="822" ht="15.75" customHeight="1">
      <c r="N822" s="27"/>
    </row>
    <row r="823" ht="15.75" customHeight="1">
      <c r="N823" s="27"/>
    </row>
    <row r="824" ht="15.75" customHeight="1">
      <c r="N824" s="27"/>
    </row>
    <row r="825" ht="15.75" customHeight="1">
      <c r="N825" s="27"/>
    </row>
    <row r="826" ht="15.75" customHeight="1">
      <c r="N826" s="27"/>
    </row>
    <row r="827" ht="15.75" customHeight="1">
      <c r="N827" s="27"/>
    </row>
    <row r="828" ht="15.75" customHeight="1">
      <c r="N828" s="27"/>
    </row>
    <row r="829" ht="15.75" customHeight="1">
      <c r="N829" s="27"/>
    </row>
    <row r="830" ht="15.75" customHeight="1">
      <c r="N830" s="27"/>
    </row>
    <row r="831" ht="15.75" customHeight="1">
      <c r="N831" s="27"/>
    </row>
    <row r="832" ht="15.75" customHeight="1">
      <c r="N832" s="27"/>
    </row>
    <row r="833" ht="15.75" customHeight="1">
      <c r="N833" s="27"/>
    </row>
    <row r="834" ht="15.75" customHeight="1">
      <c r="N834" s="27"/>
    </row>
    <row r="835" ht="15.75" customHeight="1">
      <c r="N835" s="27"/>
    </row>
    <row r="836" ht="15.75" customHeight="1">
      <c r="N836" s="27"/>
    </row>
    <row r="837" ht="15.75" customHeight="1">
      <c r="N837" s="27"/>
    </row>
    <row r="838" ht="15.75" customHeight="1">
      <c r="N838" s="27"/>
    </row>
    <row r="839" ht="15.75" customHeight="1">
      <c r="N839" s="27"/>
    </row>
    <row r="840" ht="15.75" customHeight="1">
      <c r="N840" s="27"/>
    </row>
    <row r="841" ht="15.75" customHeight="1">
      <c r="N841" s="27"/>
    </row>
    <row r="842" ht="15.75" customHeight="1">
      <c r="N842" s="27"/>
    </row>
    <row r="843" ht="15.75" customHeight="1">
      <c r="N843" s="27"/>
    </row>
    <row r="844" ht="15.75" customHeight="1">
      <c r="N844" s="27"/>
    </row>
    <row r="845" ht="15.75" customHeight="1">
      <c r="N845" s="27"/>
    </row>
    <row r="846" ht="15.75" customHeight="1">
      <c r="N846" s="27"/>
    </row>
    <row r="847" ht="15.75" customHeight="1">
      <c r="N847" s="27"/>
    </row>
    <row r="848" ht="15.75" customHeight="1">
      <c r="N848" s="27"/>
    </row>
    <row r="849" ht="15.75" customHeight="1">
      <c r="N849" s="27"/>
    </row>
    <row r="850" ht="15.75" customHeight="1">
      <c r="N850" s="27"/>
    </row>
    <row r="851" ht="15.75" customHeight="1">
      <c r="N851" s="27"/>
    </row>
    <row r="852" ht="15.75" customHeight="1">
      <c r="N852" s="27"/>
    </row>
    <row r="853" ht="15.75" customHeight="1">
      <c r="N853" s="27"/>
    </row>
    <row r="854" ht="15.75" customHeight="1">
      <c r="N854" s="27"/>
    </row>
    <row r="855" ht="15.75" customHeight="1">
      <c r="N855" s="27"/>
    </row>
    <row r="856" ht="15.75" customHeight="1">
      <c r="N856" s="27"/>
    </row>
    <row r="857" ht="15.75" customHeight="1">
      <c r="N857" s="27"/>
    </row>
    <row r="858" ht="15.75" customHeight="1">
      <c r="N858" s="27"/>
    </row>
    <row r="859" ht="15.75" customHeight="1">
      <c r="N859" s="27"/>
    </row>
    <row r="860" ht="15.75" customHeight="1">
      <c r="N860" s="27"/>
    </row>
    <row r="861" ht="15.75" customHeight="1">
      <c r="N861" s="27"/>
    </row>
    <row r="862" ht="15.75" customHeight="1">
      <c r="N862" s="27"/>
    </row>
    <row r="863" ht="15.75" customHeight="1">
      <c r="N863" s="27"/>
    </row>
    <row r="864" ht="15.75" customHeight="1">
      <c r="N864" s="27"/>
    </row>
    <row r="865" ht="15.75" customHeight="1">
      <c r="N865" s="27"/>
    </row>
    <row r="866" ht="15.75" customHeight="1">
      <c r="N866" s="27"/>
    </row>
    <row r="867" ht="15.75" customHeight="1">
      <c r="N867" s="27"/>
    </row>
    <row r="868" ht="15.75" customHeight="1">
      <c r="N868" s="27"/>
    </row>
    <row r="869" ht="15.75" customHeight="1">
      <c r="N869" s="27"/>
    </row>
    <row r="870" ht="15.75" customHeight="1">
      <c r="N870" s="27"/>
    </row>
    <row r="871" ht="15.75" customHeight="1">
      <c r="N871" s="27"/>
    </row>
    <row r="872" ht="15.75" customHeight="1">
      <c r="N872" s="27"/>
    </row>
    <row r="873" ht="15.75" customHeight="1">
      <c r="N873" s="27"/>
    </row>
    <row r="874" ht="15.75" customHeight="1">
      <c r="N874" s="27"/>
    </row>
    <row r="875" ht="15.75" customHeight="1">
      <c r="N875" s="27"/>
    </row>
    <row r="876" ht="15.75" customHeight="1">
      <c r="N876" s="27"/>
    </row>
    <row r="877" ht="15.75" customHeight="1">
      <c r="N877" s="27"/>
    </row>
    <row r="878" ht="15.75" customHeight="1">
      <c r="N878" s="27"/>
    </row>
    <row r="879" ht="15.75" customHeight="1">
      <c r="N879" s="27"/>
    </row>
    <row r="880" ht="15.75" customHeight="1">
      <c r="N880" s="27"/>
    </row>
    <row r="881" ht="15.75" customHeight="1">
      <c r="N881" s="27"/>
    </row>
    <row r="882" ht="15.75" customHeight="1">
      <c r="N882" s="27"/>
    </row>
    <row r="883" ht="15.75" customHeight="1">
      <c r="N883" s="27"/>
    </row>
    <row r="884" ht="15.75" customHeight="1">
      <c r="N884" s="27"/>
    </row>
    <row r="885" ht="15.75" customHeight="1">
      <c r="N885" s="27"/>
    </row>
    <row r="886" ht="15.75" customHeight="1">
      <c r="N886" s="27"/>
    </row>
    <row r="887" ht="15.75" customHeight="1">
      <c r="N887" s="27"/>
    </row>
    <row r="888" ht="15.75" customHeight="1">
      <c r="N888" s="27"/>
    </row>
    <row r="889" ht="15.75" customHeight="1">
      <c r="N889" s="27"/>
    </row>
    <row r="890" ht="15.75" customHeight="1">
      <c r="N890" s="27"/>
    </row>
    <row r="891" ht="15.75" customHeight="1">
      <c r="N891" s="27"/>
    </row>
    <row r="892" ht="15.75" customHeight="1">
      <c r="N892" s="27"/>
    </row>
    <row r="893" ht="15.75" customHeight="1">
      <c r="N893" s="27"/>
    </row>
    <row r="894" ht="15.75" customHeight="1">
      <c r="N894" s="27"/>
    </row>
    <row r="895" ht="15.75" customHeight="1">
      <c r="N895" s="27"/>
    </row>
    <row r="896" ht="15.75" customHeight="1">
      <c r="N896" s="27"/>
    </row>
    <row r="897" ht="15.75" customHeight="1">
      <c r="N897" s="27"/>
    </row>
    <row r="898" ht="15.75" customHeight="1">
      <c r="N898" s="27"/>
    </row>
    <row r="899" ht="15.75" customHeight="1">
      <c r="N899" s="27"/>
    </row>
    <row r="900" ht="15.75" customHeight="1">
      <c r="N900" s="27"/>
    </row>
    <row r="901" ht="15.75" customHeight="1">
      <c r="N901" s="27"/>
    </row>
    <row r="902" ht="15.75" customHeight="1">
      <c r="N902" s="27"/>
    </row>
    <row r="903" ht="15.75" customHeight="1">
      <c r="N903" s="27"/>
    </row>
    <row r="904" ht="15.75" customHeight="1">
      <c r="N904" s="27"/>
    </row>
    <row r="905" ht="15.75" customHeight="1">
      <c r="N905" s="27"/>
    </row>
    <row r="906" ht="15.75" customHeight="1">
      <c r="N906" s="27"/>
    </row>
    <row r="907" ht="15.75" customHeight="1">
      <c r="N907" s="27"/>
    </row>
    <row r="908" ht="15.75" customHeight="1">
      <c r="N908" s="27"/>
    </row>
    <row r="909" ht="15.75" customHeight="1">
      <c r="N909" s="27"/>
    </row>
    <row r="910" ht="15.75" customHeight="1">
      <c r="N910" s="27"/>
    </row>
    <row r="911" ht="15.75" customHeight="1">
      <c r="N911" s="27"/>
    </row>
    <row r="912" ht="15.75" customHeight="1">
      <c r="N912" s="27"/>
    </row>
    <row r="913" ht="15.75" customHeight="1">
      <c r="N913" s="27"/>
    </row>
    <row r="914" ht="15.75" customHeight="1">
      <c r="N914" s="27"/>
    </row>
    <row r="915" ht="15.75" customHeight="1">
      <c r="N915" s="27"/>
    </row>
    <row r="916" ht="15.75" customHeight="1">
      <c r="N916" s="27"/>
    </row>
    <row r="917" ht="15.75" customHeight="1">
      <c r="N917" s="27"/>
    </row>
    <row r="918" ht="15.75" customHeight="1">
      <c r="N918" s="27"/>
    </row>
    <row r="919" ht="15.75" customHeight="1">
      <c r="N919" s="27"/>
    </row>
    <row r="920" ht="15.75" customHeight="1">
      <c r="N920" s="27"/>
    </row>
    <row r="921" ht="15.75" customHeight="1">
      <c r="N921" s="27"/>
    </row>
    <row r="922" ht="15.75" customHeight="1">
      <c r="N922" s="27"/>
    </row>
    <row r="923" ht="15.75" customHeight="1">
      <c r="N923" s="27"/>
    </row>
    <row r="924" ht="15.75" customHeight="1">
      <c r="N924" s="27"/>
    </row>
    <row r="925" ht="15.75" customHeight="1">
      <c r="N925" s="27"/>
    </row>
    <row r="926" ht="15.75" customHeight="1">
      <c r="N926" s="27"/>
    </row>
    <row r="927" ht="15.75" customHeight="1">
      <c r="N927" s="27"/>
    </row>
    <row r="928" ht="15.75" customHeight="1">
      <c r="N928" s="27"/>
    </row>
    <row r="929" ht="15.75" customHeight="1">
      <c r="N929" s="27"/>
    </row>
    <row r="930" ht="15.75" customHeight="1">
      <c r="N930" s="27"/>
    </row>
    <row r="931" ht="15.75" customHeight="1">
      <c r="N931" s="27"/>
    </row>
    <row r="932" ht="15.75" customHeight="1">
      <c r="N932" s="27"/>
    </row>
    <row r="933" ht="15.75" customHeight="1">
      <c r="N933" s="27"/>
    </row>
    <row r="934" ht="15.75" customHeight="1">
      <c r="N934" s="27"/>
    </row>
    <row r="935" ht="15.75" customHeight="1">
      <c r="N935" s="27"/>
    </row>
    <row r="936" ht="15.75" customHeight="1">
      <c r="N936" s="27"/>
    </row>
    <row r="937" ht="15.75" customHeight="1">
      <c r="N937" s="27"/>
    </row>
    <row r="938" ht="15.75" customHeight="1">
      <c r="N938" s="27"/>
    </row>
    <row r="939" ht="15.75" customHeight="1">
      <c r="N939" s="27"/>
    </row>
    <row r="940" ht="15.75" customHeight="1">
      <c r="N940" s="27"/>
    </row>
    <row r="941" ht="15.75" customHeight="1">
      <c r="N941" s="27"/>
    </row>
    <row r="942" ht="15.75" customHeight="1">
      <c r="N942" s="27"/>
    </row>
    <row r="943" ht="15.75" customHeight="1">
      <c r="N943" s="27"/>
    </row>
    <row r="944" ht="15.75" customHeight="1">
      <c r="N944" s="27"/>
    </row>
    <row r="945" ht="15.75" customHeight="1">
      <c r="N945" s="27"/>
    </row>
    <row r="946" ht="15.75" customHeight="1">
      <c r="N946" s="27"/>
    </row>
    <row r="947" ht="15.75" customHeight="1">
      <c r="N947" s="27"/>
    </row>
    <row r="948" ht="15.75" customHeight="1">
      <c r="N948" s="27"/>
    </row>
    <row r="949" ht="15.75" customHeight="1">
      <c r="N949" s="27"/>
    </row>
    <row r="950" ht="15.75" customHeight="1">
      <c r="N950" s="27"/>
    </row>
    <row r="951" ht="15.75" customHeight="1">
      <c r="N951" s="27"/>
    </row>
    <row r="952" ht="15.75" customHeight="1">
      <c r="N952" s="27"/>
    </row>
    <row r="953" ht="15.75" customHeight="1">
      <c r="N953" s="27"/>
    </row>
    <row r="954" ht="15.75" customHeight="1">
      <c r="N954" s="27"/>
    </row>
    <row r="955" ht="15.75" customHeight="1">
      <c r="N955" s="27"/>
    </row>
    <row r="956" ht="15.75" customHeight="1">
      <c r="N956" s="27"/>
    </row>
    <row r="957" ht="15.75" customHeight="1">
      <c r="N957" s="27"/>
    </row>
    <row r="958" ht="15.75" customHeight="1">
      <c r="N958" s="27"/>
    </row>
    <row r="959" ht="15.75" customHeight="1">
      <c r="N959" s="27"/>
    </row>
    <row r="960" ht="15.75" customHeight="1">
      <c r="N960" s="27"/>
    </row>
    <row r="961" ht="15.75" customHeight="1">
      <c r="N961" s="27"/>
    </row>
    <row r="962" ht="15.75" customHeight="1">
      <c r="N962" s="27"/>
    </row>
    <row r="963" ht="15.75" customHeight="1">
      <c r="N963" s="27"/>
    </row>
    <row r="964" ht="15.75" customHeight="1">
      <c r="N964" s="27"/>
    </row>
    <row r="965" ht="15.75" customHeight="1">
      <c r="N965" s="27"/>
    </row>
    <row r="966" ht="15.75" customHeight="1">
      <c r="N966" s="27"/>
    </row>
    <row r="967" ht="15.75" customHeight="1">
      <c r="N967" s="27"/>
    </row>
    <row r="968" ht="15.75" customHeight="1">
      <c r="N968" s="27"/>
    </row>
    <row r="969" ht="15.75" customHeight="1">
      <c r="N969" s="27"/>
    </row>
    <row r="970" ht="15.75" customHeight="1">
      <c r="N970" s="27"/>
    </row>
    <row r="971" ht="15.75" customHeight="1">
      <c r="N971" s="27"/>
    </row>
    <row r="972" ht="15.75" customHeight="1">
      <c r="N972" s="27"/>
    </row>
    <row r="973" ht="15.75" customHeight="1">
      <c r="N973" s="27"/>
    </row>
    <row r="974" ht="15.75" customHeight="1">
      <c r="N974" s="27"/>
    </row>
    <row r="975" ht="15.75" customHeight="1">
      <c r="N975" s="27"/>
    </row>
    <row r="976" ht="15.75" customHeight="1">
      <c r="N976" s="27"/>
    </row>
    <row r="977" ht="15.75" customHeight="1">
      <c r="N977" s="27"/>
    </row>
    <row r="978" ht="15.75" customHeight="1">
      <c r="N978" s="27"/>
    </row>
    <row r="979" ht="15.75" customHeight="1">
      <c r="N979" s="27"/>
    </row>
    <row r="980" ht="15.75" customHeight="1">
      <c r="N980" s="27"/>
    </row>
    <row r="981" ht="15.75" customHeight="1">
      <c r="N981" s="27"/>
    </row>
    <row r="982" ht="15.75" customHeight="1">
      <c r="N982" s="27"/>
    </row>
    <row r="983" ht="15.75" customHeight="1">
      <c r="N983" s="27"/>
    </row>
    <row r="984" ht="15.75" customHeight="1">
      <c r="N984" s="27"/>
    </row>
    <row r="985" ht="15.75" customHeight="1">
      <c r="N985" s="27"/>
    </row>
    <row r="986" ht="15.75" customHeight="1">
      <c r="N986" s="27"/>
    </row>
    <row r="987" ht="15.75" customHeight="1">
      <c r="N987" s="27"/>
    </row>
    <row r="988" ht="15.75" customHeight="1">
      <c r="N988" s="27"/>
    </row>
    <row r="989" ht="15.75" customHeight="1">
      <c r="N989" s="27"/>
    </row>
    <row r="990" ht="15.75" customHeight="1">
      <c r="N990" s="27"/>
    </row>
    <row r="991" ht="15.75" customHeight="1">
      <c r="N991" s="27"/>
    </row>
    <row r="992" ht="15.75" customHeight="1">
      <c r="N992" s="27"/>
    </row>
    <row r="993" ht="15.75" customHeight="1">
      <c r="N993" s="27"/>
    </row>
    <row r="994" ht="15.75" customHeight="1">
      <c r="N994" s="27"/>
    </row>
    <row r="995" ht="15.75" customHeight="1">
      <c r="N995" s="27"/>
    </row>
    <row r="996" ht="15.75" customHeight="1">
      <c r="N996" s="27"/>
    </row>
    <row r="997" ht="15.75" customHeight="1">
      <c r="N997" s="27"/>
    </row>
    <row r="998" ht="15.75" customHeight="1">
      <c r="N998" s="27"/>
    </row>
    <row r="999" ht="15.75" customHeight="1">
      <c r="N999" s="27"/>
    </row>
    <row r="1000" ht="15.75" customHeight="1">
      <c r="N1000" s="27"/>
    </row>
    <row r="1001" ht="15.75" customHeight="1">
      <c r="N1001" s="27"/>
    </row>
    <row r="1002" ht="15.75" customHeight="1">
      <c r="N1002" s="27"/>
    </row>
    <row r="1003" ht="15.75" customHeight="1">
      <c r="N1003" s="27"/>
    </row>
  </sheetData>
  <autoFilter ref="$A$4:$M$94"/>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6.0"/>
    <col customWidth="1" min="2" max="2" width="11.0"/>
    <col customWidth="1" min="3" max="3" width="10.0"/>
    <col customWidth="1" min="4" max="4" width="12.0"/>
    <col customWidth="1" min="5" max="5" width="9.0"/>
    <col customWidth="1" min="6" max="6" width="50.0"/>
    <col customWidth="1" min="7" max="7" width="36.0"/>
    <col customWidth="1" min="8" max="8" width="7.0"/>
    <col customWidth="1" min="9" max="9" width="13.0"/>
    <col customWidth="1" min="10" max="10" width="36.0"/>
    <col customWidth="1" hidden="1" min="11" max="11" width="24.0"/>
    <col customWidth="1" min="12" max="12" width="42.0"/>
    <col customWidth="1" min="13" max="13" width="40.0"/>
    <col customWidth="1" min="14" max="14" width="31.43"/>
    <col customWidth="1" min="15" max="26" width="8.71"/>
  </cols>
  <sheetData>
    <row r="1">
      <c r="A1" s="2" t="s">
        <v>166</v>
      </c>
    </row>
    <row r="2">
      <c r="A2" s="5" t="s">
        <v>28</v>
      </c>
      <c r="C2" s="7">
        <v>46194.0</v>
      </c>
      <c r="E2" s="10" t="s">
        <v>174</v>
      </c>
    </row>
    <row r="3">
      <c r="E3" s="10" t="s">
        <v>61</v>
      </c>
    </row>
    <row r="4">
      <c r="A4" s="4" t="s">
        <v>67</v>
      </c>
      <c r="B4" s="4" t="s">
        <v>69</v>
      </c>
      <c r="C4" s="4" t="s">
        <v>71</v>
      </c>
      <c r="D4" s="4" t="s">
        <v>15</v>
      </c>
      <c r="E4" s="4" t="s">
        <v>72</v>
      </c>
      <c r="F4" s="4" t="s">
        <v>74</v>
      </c>
      <c r="G4" s="4" t="s">
        <v>77</v>
      </c>
      <c r="H4" s="4" t="s">
        <v>79</v>
      </c>
      <c r="I4" s="4" t="s">
        <v>81</v>
      </c>
      <c r="J4" s="4" t="s">
        <v>84</v>
      </c>
      <c r="K4" s="4" t="s">
        <v>85</v>
      </c>
      <c r="L4" s="4" t="s">
        <v>87</v>
      </c>
      <c r="M4" s="4" t="s">
        <v>90</v>
      </c>
      <c r="N4" s="11" t="s">
        <v>97</v>
      </c>
    </row>
    <row r="5">
      <c r="A5" s="6">
        <v>1.0</v>
      </c>
      <c r="B5" s="12">
        <f t="shared" ref="B5:B6" si="1">$C$2+7*(1-1)</f>
        <v>46194</v>
      </c>
      <c r="C5" s="13" t="s">
        <v>142</v>
      </c>
      <c r="D5" s="6" t="s">
        <v>109</v>
      </c>
      <c r="E5" s="6" t="s">
        <v>148</v>
      </c>
      <c r="F5" s="6" t="s">
        <v>190</v>
      </c>
      <c r="G5" s="6"/>
      <c r="H5" s="6"/>
      <c r="I5" s="6" t="s">
        <v>153</v>
      </c>
      <c r="J5" s="6"/>
      <c r="K5" s="6"/>
      <c r="L5" s="6" t="s">
        <v>155</v>
      </c>
      <c r="M5" s="6" t="s">
        <v>193</v>
      </c>
      <c r="N5" s="14"/>
    </row>
    <row r="6">
      <c r="A6" s="6">
        <v>1.0</v>
      </c>
      <c r="B6" s="12">
        <f t="shared" si="1"/>
        <v>46194</v>
      </c>
      <c r="C6" s="13" t="s">
        <v>142</v>
      </c>
      <c r="D6" s="6" t="s">
        <v>118</v>
      </c>
      <c r="E6" s="6" t="s">
        <v>148</v>
      </c>
      <c r="F6" s="6" t="s">
        <v>196</v>
      </c>
      <c r="G6" s="6"/>
      <c r="H6" s="6"/>
      <c r="I6" s="6" t="s">
        <v>153</v>
      </c>
      <c r="J6" s="6"/>
      <c r="K6" s="6"/>
      <c r="L6" s="6" t="s">
        <v>155</v>
      </c>
      <c r="M6" s="6" t="s">
        <v>196</v>
      </c>
      <c r="N6" s="14"/>
    </row>
    <row r="7">
      <c r="A7" s="6">
        <v>2.0</v>
      </c>
      <c r="B7" s="12">
        <f t="shared" ref="B7:B8" si="2">$C$2+7*(2-1)</f>
        <v>46201</v>
      </c>
      <c r="C7" s="13" t="s">
        <v>142</v>
      </c>
      <c r="D7" s="6" t="s">
        <v>109</v>
      </c>
      <c r="E7" s="6" t="s">
        <v>148</v>
      </c>
      <c r="F7" s="6" t="s">
        <v>202</v>
      </c>
      <c r="G7" s="6"/>
      <c r="H7" s="6"/>
      <c r="I7" s="6" t="s">
        <v>153</v>
      </c>
      <c r="J7" s="6"/>
      <c r="K7" s="6"/>
      <c r="L7" s="6" t="s">
        <v>155</v>
      </c>
      <c r="M7" s="6" t="s">
        <v>202</v>
      </c>
      <c r="N7" s="14"/>
    </row>
    <row r="8">
      <c r="A8" s="6">
        <v>2.0</v>
      </c>
      <c r="B8" s="12">
        <f t="shared" si="2"/>
        <v>46201</v>
      </c>
      <c r="C8" s="13" t="s">
        <v>142</v>
      </c>
      <c r="D8" s="6" t="s">
        <v>118</v>
      </c>
      <c r="E8" s="6" t="s">
        <v>148</v>
      </c>
      <c r="F8" s="6" t="s">
        <v>208</v>
      </c>
      <c r="G8" s="6"/>
      <c r="H8" s="6"/>
      <c r="I8" s="6" t="s">
        <v>153</v>
      </c>
      <c r="J8" s="6"/>
      <c r="K8" s="6"/>
      <c r="L8" s="6" t="s">
        <v>155</v>
      </c>
      <c r="M8" s="6" t="s">
        <v>208</v>
      </c>
      <c r="N8" s="14"/>
    </row>
    <row r="9">
      <c r="A9" s="6">
        <v>3.0</v>
      </c>
      <c r="B9" s="12">
        <f t="shared" ref="B9:B10" si="3">$C$2+7*(3-1)</f>
        <v>46208</v>
      </c>
      <c r="C9" s="13" t="s">
        <v>142</v>
      </c>
      <c r="D9" s="6" t="s">
        <v>109</v>
      </c>
      <c r="E9" s="6" t="s">
        <v>148</v>
      </c>
      <c r="F9" s="6" t="s">
        <v>212</v>
      </c>
      <c r="G9" s="6"/>
      <c r="H9" s="6"/>
      <c r="I9" s="6" t="s">
        <v>153</v>
      </c>
      <c r="J9" s="6"/>
      <c r="K9" s="6"/>
      <c r="L9" s="6" t="s">
        <v>155</v>
      </c>
      <c r="M9" s="6" t="s">
        <v>212</v>
      </c>
      <c r="N9" s="14"/>
    </row>
    <row r="10">
      <c r="A10" s="6">
        <v>3.0</v>
      </c>
      <c r="B10" s="12">
        <f t="shared" si="3"/>
        <v>46208</v>
      </c>
      <c r="C10" s="13" t="s">
        <v>142</v>
      </c>
      <c r="D10" s="6" t="s">
        <v>118</v>
      </c>
      <c r="E10" s="6" t="s">
        <v>148</v>
      </c>
      <c r="F10" s="6" t="s">
        <v>208</v>
      </c>
      <c r="G10" s="6"/>
      <c r="H10" s="6"/>
      <c r="I10" s="6" t="s">
        <v>153</v>
      </c>
      <c r="J10" s="6"/>
      <c r="K10" s="6"/>
      <c r="L10" s="6" t="s">
        <v>155</v>
      </c>
      <c r="M10" s="6" t="s">
        <v>208</v>
      </c>
      <c r="N10" s="14"/>
    </row>
    <row r="11">
      <c r="A11" s="6">
        <v>4.0</v>
      </c>
      <c r="B11" s="12">
        <f t="shared" ref="B11:B12" si="4">$C$2+7*(4-1)</f>
        <v>46215</v>
      </c>
      <c r="C11" s="13" t="s">
        <v>142</v>
      </c>
      <c r="D11" s="6" t="s">
        <v>109</v>
      </c>
      <c r="E11" s="6" t="s">
        <v>148</v>
      </c>
      <c r="F11" s="6" t="s">
        <v>158</v>
      </c>
      <c r="G11" s="6"/>
      <c r="H11" s="6"/>
      <c r="I11" s="6" t="s">
        <v>153</v>
      </c>
      <c r="J11" s="6"/>
      <c r="K11" s="6"/>
      <c r="L11" s="6" t="s">
        <v>155</v>
      </c>
      <c r="M11" s="6" t="s">
        <v>221</v>
      </c>
      <c r="N11" s="14"/>
    </row>
    <row r="12">
      <c r="A12" s="6">
        <v>4.0</v>
      </c>
      <c r="B12" s="12">
        <f t="shared" si="4"/>
        <v>46215</v>
      </c>
      <c r="C12" s="13" t="s">
        <v>142</v>
      </c>
      <c r="D12" s="6" t="s">
        <v>118</v>
      </c>
      <c r="E12" s="6" t="s">
        <v>148</v>
      </c>
      <c r="F12" s="15" t="s">
        <v>162</v>
      </c>
      <c r="G12" s="6"/>
      <c r="H12" s="6"/>
      <c r="I12" s="16" t="s">
        <v>46</v>
      </c>
      <c r="J12" s="6"/>
      <c r="K12" s="6"/>
      <c r="L12" s="6" t="s">
        <v>155</v>
      </c>
      <c r="M12" s="6" t="s">
        <v>161</v>
      </c>
      <c r="N12" s="14"/>
    </row>
    <row r="13">
      <c r="A13" s="6">
        <v>5.0</v>
      </c>
      <c r="B13" s="12">
        <f t="shared" ref="B13:B14" si="5">$C$2+7*(5-1)</f>
        <v>46222</v>
      </c>
      <c r="C13" s="17" t="s">
        <v>163</v>
      </c>
      <c r="D13" s="6" t="s">
        <v>109</v>
      </c>
      <c r="E13" s="6" t="s">
        <v>148</v>
      </c>
      <c r="F13" s="6" t="s">
        <v>229</v>
      </c>
      <c r="G13" s="6" t="s">
        <v>231</v>
      </c>
      <c r="H13" s="6">
        <v>4.0</v>
      </c>
      <c r="I13" s="6" t="s">
        <v>167</v>
      </c>
      <c r="J13" s="6" t="s">
        <v>232</v>
      </c>
      <c r="K13" s="6" t="s">
        <v>233</v>
      </c>
      <c r="L13" s="6" t="s">
        <v>234</v>
      </c>
      <c r="M13" s="6" t="s">
        <v>235</v>
      </c>
      <c r="N13" s="14"/>
    </row>
    <row r="14">
      <c r="A14" s="6">
        <v>5.0</v>
      </c>
      <c r="B14" s="12">
        <f t="shared" si="5"/>
        <v>46222</v>
      </c>
      <c r="C14" s="17" t="s">
        <v>163</v>
      </c>
      <c r="D14" s="6" t="s">
        <v>118</v>
      </c>
      <c r="E14" s="6" t="s">
        <v>148</v>
      </c>
      <c r="F14" s="6" t="s">
        <v>237</v>
      </c>
      <c r="G14" s="6" t="s">
        <v>239</v>
      </c>
      <c r="H14" s="6">
        <v>2.0</v>
      </c>
      <c r="I14" s="6" t="s">
        <v>175</v>
      </c>
      <c r="J14" s="6" t="s">
        <v>241</v>
      </c>
      <c r="K14" s="6" t="s">
        <v>233</v>
      </c>
      <c r="L14" s="6"/>
      <c r="M14" s="6" t="s">
        <v>243</v>
      </c>
      <c r="N14" s="14"/>
    </row>
    <row r="15">
      <c r="A15" s="6">
        <v>6.0</v>
      </c>
      <c r="B15" s="12">
        <f t="shared" ref="B15:B16" si="6">$C$2+7*(6-1)</f>
        <v>46229</v>
      </c>
      <c r="C15" s="17" t="s">
        <v>163</v>
      </c>
      <c r="D15" s="6" t="s">
        <v>109</v>
      </c>
      <c r="E15" s="6" t="s">
        <v>148</v>
      </c>
      <c r="F15" s="6" t="s">
        <v>244</v>
      </c>
      <c r="G15" s="6"/>
      <c r="H15" s="6"/>
      <c r="I15" s="6" t="s">
        <v>204</v>
      </c>
      <c r="J15" s="6" t="s">
        <v>247</v>
      </c>
      <c r="K15" s="6" t="s">
        <v>233</v>
      </c>
      <c r="L15" s="6" t="s">
        <v>249</v>
      </c>
      <c r="M15" s="6" t="s">
        <v>251</v>
      </c>
      <c r="N15" s="14"/>
    </row>
    <row r="16">
      <c r="A16" s="6">
        <v>6.0</v>
      </c>
      <c r="B16" s="12">
        <f t="shared" si="6"/>
        <v>46229</v>
      </c>
      <c r="C16" s="17" t="s">
        <v>163</v>
      </c>
      <c r="D16" s="6" t="s">
        <v>118</v>
      </c>
      <c r="E16" s="6" t="s">
        <v>148</v>
      </c>
      <c r="F16" s="6" t="s">
        <v>253</v>
      </c>
      <c r="G16" s="6"/>
      <c r="H16" s="6"/>
      <c r="I16" s="6" t="s">
        <v>204</v>
      </c>
      <c r="J16" s="6" t="s">
        <v>255</v>
      </c>
      <c r="K16" s="6" t="s">
        <v>233</v>
      </c>
      <c r="L16" s="6"/>
      <c r="M16" s="6" t="s">
        <v>259</v>
      </c>
      <c r="N16" s="14"/>
    </row>
    <row r="17">
      <c r="A17" s="6">
        <v>7.0</v>
      </c>
      <c r="B17" s="12">
        <f t="shared" ref="B17:B18" si="7">$C$2+7*(7-1)</f>
        <v>46236</v>
      </c>
      <c r="C17" s="17" t="s">
        <v>163</v>
      </c>
      <c r="D17" s="6" t="s">
        <v>109</v>
      </c>
      <c r="E17" s="6" t="s">
        <v>148</v>
      </c>
      <c r="F17" s="6" t="s">
        <v>261</v>
      </c>
      <c r="G17" s="6" t="s">
        <v>263</v>
      </c>
      <c r="H17" s="6">
        <v>3.0</v>
      </c>
      <c r="I17" s="6" t="s">
        <v>175</v>
      </c>
      <c r="J17" s="6"/>
      <c r="K17" s="6" t="s">
        <v>233</v>
      </c>
      <c r="L17" s="6"/>
      <c r="M17" s="6" t="s">
        <v>266</v>
      </c>
      <c r="N17" s="14"/>
    </row>
    <row r="18">
      <c r="A18" s="6">
        <v>7.0</v>
      </c>
      <c r="B18" s="12">
        <f t="shared" si="7"/>
        <v>46236</v>
      </c>
      <c r="C18" s="17" t="s">
        <v>163</v>
      </c>
      <c r="D18" s="6" t="s">
        <v>118</v>
      </c>
      <c r="E18" s="6" t="s">
        <v>148</v>
      </c>
      <c r="F18" s="6" t="s">
        <v>268</v>
      </c>
      <c r="G18" s="6" t="s">
        <v>269</v>
      </c>
      <c r="H18" s="6">
        <v>2.0</v>
      </c>
      <c r="I18" s="6" t="s">
        <v>175</v>
      </c>
      <c r="J18" s="6" t="s">
        <v>271</v>
      </c>
      <c r="K18" s="6" t="s">
        <v>233</v>
      </c>
      <c r="L18" s="6"/>
      <c r="M18" s="6" t="s">
        <v>268</v>
      </c>
      <c r="N18" s="14"/>
    </row>
    <row r="19">
      <c r="A19" s="6">
        <v>8.0</v>
      </c>
      <c r="B19" s="12">
        <f t="shared" ref="B19:B20" si="8">$C$2+7*(8-1)</f>
        <v>46243</v>
      </c>
      <c r="C19" s="17" t="s">
        <v>163</v>
      </c>
      <c r="D19" s="6" t="s">
        <v>109</v>
      </c>
      <c r="E19" s="6" t="s">
        <v>148</v>
      </c>
      <c r="F19" s="6" t="s">
        <v>277</v>
      </c>
      <c r="G19" s="6"/>
      <c r="H19" s="6"/>
      <c r="I19" s="6" t="s">
        <v>204</v>
      </c>
      <c r="J19" s="6" t="s">
        <v>278</v>
      </c>
      <c r="K19" s="6" t="s">
        <v>233</v>
      </c>
      <c r="L19" s="6"/>
      <c r="M19" s="6" t="s">
        <v>279</v>
      </c>
      <c r="N19" s="14"/>
    </row>
    <row r="20">
      <c r="A20" s="6">
        <v>8.0</v>
      </c>
      <c r="B20" s="12">
        <f t="shared" si="8"/>
        <v>46243</v>
      </c>
      <c r="C20" s="17" t="s">
        <v>163</v>
      </c>
      <c r="D20" s="6" t="s">
        <v>118</v>
      </c>
      <c r="E20" s="6" t="s">
        <v>148</v>
      </c>
      <c r="F20" s="6" t="s">
        <v>283</v>
      </c>
      <c r="G20" s="6" t="s">
        <v>284</v>
      </c>
      <c r="H20" s="6">
        <v>2.0</v>
      </c>
      <c r="I20" s="6" t="s">
        <v>175</v>
      </c>
      <c r="J20" s="6" t="s">
        <v>285</v>
      </c>
      <c r="K20" s="6" t="s">
        <v>233</v>
      </c>
      <c r="L20" s="6"/>
      <c r="M20" s="6" t="s">
        <v>286</v>
      </c>
      <c r="N20" s="14"/>
    </row>
    <row r="21" ht="15.75" customHeight="1">
      <c r="A21" s="6">
        <v>9.0</v>
      </c>
      <c r="B21" s="12">
        <f t="shared" ref="B21:B22" si="9">$C$2+7*(9-1)</f>
        <v>46250</v>
      </c>
      <c r="C21" s="17" t="s">
        <v>163</v>
      </c>
      <c r="D21" s="6" t="s">
        <v>109</v>
      </c>
      <c r="E21" s="6" t="s">
        <v>148</v>
      </c>
      <c r="F21" s="6" t="s">
        <v>289</v>
      </c>
      <c r="G21" s="6" t="s">
        <v>290</v>
      </c>
      <c r="H21" s="6">
        <v>2.0</v>
      </c>
      <c r="I21" s="6" t="s">
        <v>175</v>
      </c>
      <c r="J21" s="6" t="s">
        <v>292</v>
      </c>
      <c r="K21" s="6" t="s">
        <v>233</v>
      </c>
      <c r="L21" s="6"/>
      <c r="M21" s="6" t="s">
        <v>295</v>
      </c>
      <c r="N21" s="14"/>
    </row>
    <row r="22" ht="15.75" customHeight="1">
      <c r="A22" s="6">
        <v>9.0</v>
      </c>
      <c r="B22" s="12">
        <f t="shared" si="9"/>
        <v>46250</v>
      </c>
      <c r="C22" s="17" t="s">
        <v>163</v>
      </c>
      <c r="D22" s="6" t="s">
        <v>118</v>
      </c>
      <c r="E22" s="6" t="s">
        <v>148</v>
      </c>
      <c r="F22" s="6" t="s">
        <v>298</v>
      </c>
      <c r="G22" s="6"/>
      <c r="H22" s="6"/>
      <c r="I22" s="6" t="s">
        <v>204</v>
      </c>
      <c r="J22" s="6" t="s">
        <v>299</v>
      </c>
      <c r="K22" s="6" t="s">
        <v>233</v>
      </c>
      <c r="L22" s="6" t="s">
        <v>249</v>
      </c>
      <c r="M22" s="6" t="s">
        <v>302</v>
      </c>
      <c r="N22" s="14"/>
    </row>
    <row r="23" ht="15.75" customHeight="1">
      <c r="A23" s="6">
        <v>10.0</v>
      </c>
      <c r="B23" s="12">
        <f t="shared" ref="B23:B24" si="10">$C$2+7*(10-1)</f>
        <v>46257</v>
      </c>
      <c r="C23" s="17" t="s">
        <v>163</v>
      </c>
      <c r="D23" s="6" t="s">
        <v>109</v>
      </c>
      <c r="E23" s="6" t="s">
        <v>148</v>
      </c>
      <c r="F23" s="6" t="s">
        <v>306</v>
      </c>
      <c r="G23" s="6"/>
      <c r="H23" s="6"/>
      <c r="I23" s="6" t="s">
        <v>204</v>
      </c>
      <c r="J23" s="6" t="s">
        <v>292</v>
      </c>
      <c r="K23" s="6" t="s">
        <v>233</v>
      </c>
      <c r="L23" s="6" t="s">
        <v>308</v>
      </c>
      <c r="M23" s="6" t="s">
        <v>309</v>
      </c>
      <c r="N23" s="14"/>
    </row>
    <row r="24" ht="15.75" customHeight="1">
      <c r="A24" s="6">
        <v>10.0</v>
      </c>
      <c r="B24" s="12">
        <f t="shared" si="10"/>
        <v>46257</v>
      </c>
      <c r="C24" s="17" t="s">
        <v>163</v>
      </c>
      <c r="D24" s="6" t="s">
        <v>118</v>
      </c>
      <c r="E24" s="6" t="s">
        <v>148</v>
      </c>
      <c r="F24" s="6" t="s">
        <v>311</v>
      </c>
      <c r="G24" s="6" t="s">
        <v>312</v>
      </c>
      <c r="H24" s="6">
        <v>1.0</v>
      </c>
      <c r="I24" s="6" t="s">
        <v>175</v>
      </c>
      <c r="J24" s="6" t="s">
        <v>313</v>
      </c>
      <c r="K24" s="6" t="s">
        <v>233</v>
      </c>
      <c r="L24" s="6" t="s">
        <v>314</v>
      </c>
      <c r="M24" s="6" t="s">
        <v>315</v>
      </c>
      <c r="N24" s="14"/>
    </row>
    <row r="25" ht="15.75" customHeight="1">
      <c r="A25" s="6">
        <v>11.0</v>
      </c>
      <c r="B25" s="12">
        <f t="shared" ref="B25:B26" si="11">$C$2+7*(11-1)</f>
        <v>46264</v>
      </c>
      <c r="C25" s="17" t="s">
        <v>163</v>
      </c>
      <c r="D25" s="6" t="s">
        <v>109</v>
      </c>
      <c r="E25" s="6" t="s">
        <v>148</v>
      </c>
      <c r="F25" s="6" t="s">
        <v>320</v>
      </c>
      <c r="G25" s="6" t="s">
        <v>321</v>
      </c>
      <c r="H25" s="6">
        <v>4.0</v>
      </c>
      <c r="I25" s="6" t="s">
        <v>167</v>
      </c>
      <c r="J25" s="6" t="s">
        <v>323</v>
      </c>
      <c r="K25" s="6" t="s">
        <v>233</v>
      </c>
      <c r="L25" s="6" t="s">
        <v>324</v>
      </c>
      <c r="M25" s="6" t="s">
        <v>325</v>
      </c>
      <c r="N25" s="14"/>
    </row>
    <row r="26" ht="15.75" customHeight="1">
      <c r="A26" s="6">
        <v>11.0</v>
      </c>
      <c r="B26" s="12">
        <f t="shared" si="11"/>
        <v>46264</v>
      </c>
      <c r="C26" s="17" t="s">
        <v>163</v>
      </c>
      <c r="D26" s="6" t="s">
        <v>118</v>
      </c>
      <c r="E26" s="6" t="s">
        <v>148</v>
      </c>
      <c r="F26" s="20" t="s">
        <v>329</v>
      </c>
      <c r="G26" s="6"/>
      <c r="H26" s="6"/>
      <c r="I26" s="21" t="s">
        <v>288</v>
      </c>
      <c r="J26" s="6" t="s">
        <v>331</v>
      </c>
      <c r="K26" s="6" t="s">
        <v>233</v>
      </c>
      <c r="L26" s="6" t="s">
        <v>332</v>
      </c>
      <c r="M26" s="6" t="s">
        <v>333</v>
      </c>
      <c r="N26" s="14"/>
    </row>
    <row r="27" ht="15.75" customHeight="1">
      <c r="A27" s="6">
        <v>12.0</v>
      </c>
      <c r="B27" s="12">
        <f t="shared" ref="B27:B28" si="12">$C$2+7*(12-1)</f>
        <v>46271</v>
      </c>
      <c r="C27" s="17" t="s">
        <v>163</v>
      </c>
      <c r="D27" s="6" t="s">
        <v>109</v>
      </c>
      <c r="E27" s="6" t="s">
        <v>148</v>
      </c>
      <c r="F27" s="6" t="s">
        <v>337</v>
      </c>
      <c r="G27" s="6" t="s">
        <v>338</v>
      </c>
      <c r="H27" s="6">
        <v>3.0</v>
      </c>
      <c r="I27" s="6" t="s">
        <v>175</v>
      </c>
      <c r="J27" s="6"/>
      <c r="K27" s="6" t="s">
        <v>233</v>
      </c>
      <c r="L27" s="6"/>
      <c r="M27" s="6" t="s">
        <v>341</v>
      </c>
      <c r="N27" s="14"/>
    </row>
    <row r="28" ht="15.75" customHeight="1">
      <c r="A28" s="6">
        <v>12.0</v>
      </c>
      <c r="B28" s="12">
        <f t="shared" si="12"/>
        <v>46271</v>
      </c>
      <c r="C28" s="17" t="s">
        <v>163</v>
      </c>
      <c r="D28" s="6" t="s">
        <v>118</v>
      </c>
      <c r="E28" s="6" t="s">
        <v>148</v>
      </c>
      <c r="F28" s="19" t="s">
        <v>344</v>
      </c>
      <c r="G28" s="6"/>
      <c r="H28" s="6"/>
      <c r="I28" s="19" t="s">
        <v>280</v>
      </c>
      <c r="J28" s="6" t="s">
        <v>347</v>
      </c>
      <c r="K28" s="6" t="s">
        <v>233</v>
      </c>
      <c r="L28" s="6" t="s">
        <v>349</v>
      </c>
      <c r="M28" s="6" t="s">
        <v>351</v>
      </c>
      <c r="N28" s="14"/>
    </row>
    <row r="29" ht="15.75" customHeight="1">
      <c r="A29" s="6">
        <v>13.0</v>
      </c>
      <c r="B29" s="12">
        <f t="shared" ref="B29:B30" si="13">$C$2+7*(13-1)</f>
        <v>46278</v>
      </c>
      <c r="C29" s="17" t="s">
        <v>163</v>
      </c>
      <c r="D29" s="6" t="s">
        <v>109</v>
      </c>
      <c r="E29" s="6" t="s">
        <v>148</v>
      </c>
      <c r="F29" s="6" t="s">
        <v>356</v>
      </c>
      <c r="G29" s="6"/>
      <c r="H29" s="6"/>
      <c r="I29" s="6" t="s">
        <v>204</v>
      </c>
      <c r="J29" s="6"/>
      <c r="K29" s="6" t="s">
        <v>233</v>
      </c>
      <c r="L29" s="6" t="s">
        <v>274</v>
      </c>
      <c r="M29" s="6" t="s">
        <v>360</v>
      </c>
      <c r="N29" s="14"/>
    </row>
    <row r="30" ht="15.75" customHeight="1">
      <c r="A30" s="6">
        <v>13.0</v>
      </c>
      <c r="B30" s="12">
        <f t="shared" si="13"/>
        <v>46278</v>
      </c>
      <c r="C30" s="17" t="s">
        <v>163</v>
      </c>
      <c r="D30" s="6" t="s">
        <v>118</v>
      </c>
      <c r="E30" s="6" t="s">
        <v>148</v>
      </c>
      <c r="F30" s="6" t="s">
        <v>363</v>
      </c>
      <c r="G30" s="6" t="s">
        <v>364</v>
      </c>
      <c r="H30" s="6">
        <v>1.0</v>
      </c>
      <c r="I30" s="6" t="s">
        <v>175</v>
      </c>
      <c r="J30" s="6" t="s">
        <v>366</v>
      </c>
      <c r="K30" s="6" t="s">
        <v>233</v>
      </c>
      <c r="L30" s="6" t="s">
        <v>368</v>
      </c>
      <c r="M30" s="6" t="s">
        <v>371</v>
      </c>
      <c r="N30" s="14"/>
    </row>
    <row r="31" ht="15.75" customHeight="1">
      <c r="A31" s="6">
        <v>14.0</v>
      </c>
      <c r="B31" s="12">
        <f t="shared" ref="B31:B32" si="14">$C$2+7*(14-1)</f>
        <v>46285</v>
      </c>
      <c r="C31" s="17" t="s">
        <v>163</v>
      </c>
      <c r="D31" s="6" t="s">
        <v>109</v>
      </c>
      <c r="E31" s="6" t="s">
        <v>148</v>
      </c>
      <c r="F31" s="20" t="s">
        <v>374</v>
      </c>
      <c r="G31" s="6"/>
      <c r="H31" s="6"/>
      <c r="I31" s="21" t="s">
        <v>288</v>
      </c>
      <c r="J31" s="6" t="s">
        <v>378</v>
      </c>
      <c r="K31" s="6" t="s">
        <v>233</v>
      </c>
      <c r="L31" s="6" t="s">
        <v>380</v>
      </c>
      <c r="M31" s="6" t="s">
        <v>382</v>
      </c>
      <c r="N31" s="14"/>
    </row>
    <row r="32" ht="15.75" customHeight="1">
      <c r="A32" s="6">
        <v>14.0</v>
      </c>
      <c r="B32" s="12">
        <f t="shared" si="14"/>
        <v>46285</v>
      </c>
      <c r="C32" s="17" t="s">
        <v>163</v>
      </c>
      <c r="D32" s="6" t="s">
        <v>118</v>
      </c>
      <c r="E32" s="6" t="s">
        <v>148</v>
      </c>
      <c r="F32" s="6" t="s">
        <v>385</v>
      </c>
      <c r="G32" s="6" t="s">
        <v>386</v>
      </c>
      <c r="H32" s="6">
        <v>2.0</v>
      </c>
      <c r="I32" s="6" t="s">
        <v>175</v>
      </c>
      <c r="J32" s="6"/>
      <c r="K32" s="6" t="s">
        <v>233</v>
      </c>
      <c r="L32" s="6"/>
      <c r="M32" s="6" t="s">
        <v>391</v>
      </c>
      <c r="N32" s="14"/>
    </row>
    <row r="33" ht="15.75" customHeight="1">
      <c r="A33" s="6">
        <v>15.0</v>
      </c>
      <c r="B33" s="12">
        <f t="shared" ref="B33:B34" si="15">$C$2+7*(15-1)</f>
        <v>46292</v>
      </c>
      <c r="C33" s="17" t="s">
        <v>163</v>
      </c>
      <c r="D33" s="6" t="s">
        <v>109</v>
      </c>
      <c r="E33" s="6" t="s">
        <v>148</v>
      </c>
      <c r="F33" s="19" t="s">
        <v>394</v>
      </c>
      <c r="G33" s="6"/>
      <c r="H33" s="6"/>
      <c r="I33" s="19" t="s">
        <v>280</v>
      </c>
      <c r="J33" s="6"/>
      <c r="K33" s="6" t="s">
        <v>233</v>
      </c>
      <c r="L33" s="6"/>
      <c r="M33" s="6" t="s">
        <v>371</v>
      </c>
      <c r="N33" s="14"/>
    </row>
    <row r="34" ht="15.75" customHeight="1">
      <c r="A34" s="6">
        <v>15.0</v>
      </c>
      <c r="B34" s="12">
        <f t="shared" si="15"/>
        <v>46292</v>
      </c>
      <c r="C34" s="17" t="s">
        <v>163</v>
      </c>
      <c r="D34" s="6" t="s">
        <v>118</v>
      </c>
      <c r="E34" s="6" t="s">
        <v>148</v>
      </c>
      <c r="F34" s="6" t="s">
        <v>405</v>
      </c>
      <c r="G34" s="6" t="s">
        <v>407</v>
      </c>
      <c r="H34" s="6">
        <v>2.0</v>
      </c>
      <c r="I34" s="6" t="s">
        <v>175</v>
      </c>
      <c r="J34" s="6"/>
      <c r="K34" s="6" t="s">
        <v>233</v>
      </c>
      <c r="L34" s="6"/>
      <c r="M34" s="6" t="s">
        <v>391</v>
      </c>
      <c r="N34" s="14"/>
    </row>
    <row r="35" ht="15.75" customHeight="1">
      <c r="A35" s="6">
        <v>16.0</v>
      </c>
      <c r="B35" s="12">
        <f t="shared" ref="B35:B36" si="16">$C$2+7*(16-1)</f>
        <v>46299</v>
      </c>
      <c r="C35" s="17" t="s">
        <v>163</v>
      </c>
      <c r="D35" s="6" t="s">
        <v>109</v>
      </c>
      <c r="E35" s="6" t="s">
        <v>148</v>
      </c>
      <c r="F35" s="19" t="s">
        <v>304</v>
      </c>
      <c r="G35" s="6"/>
      <c r="H35" s="6"/>
      <c r="I35" s="19" t="s">
        <v>280</v>
      </c>
      <c r="J35" s="6"/>
      <c r="K35" s="6" t="s">
        <v>233</v>
      </c>
      <c r="L35" s="6"/>
      <c r="M35" s="6" t="s">
        <v>391</v>
      </c>
      <c r="N35" s="14"/>
    </row>
    <row r="36" ht="15.75" customHeight="1">
      <c r="A36" s="6">
        <v>16.0</v>
      </c>
      <c r="B36" s="12">
        <f t="shared" si="16"/>
        <v>46299</v>
      </c>
      <c r="C36" s="17" t="s">
        <v>163</v>
      </c>
      <c r="D36" s="6" t="s">
        <v>118</v>
      </c>
      <c r="E36" s="6" t="s">
        <v>148</v>
      </c>
      <c r="F36" s="19" t="s">
        <v>417</v>
      </c>
      <c r="G36" s="6"/>
      <c r="H36" s="6"/>
      <c r="I36" s="19" t="s">
        <v>280</v>
      </c>
      <c r="J36" s="6"/>
      <c r="K36" s="6" t="s">
        <v>233</v>
      </c>
      <c r="L36" s="6"/>
      <c r="M36" s="6" t="s">
        <v>391</v>
      </c>
      <c r="N36" s="14"/>
    </row>
    <row r="37" ht="15.75" customHeight="1">
      <c r="A37" s="6">
        <v>17.0</v>
      </c>
      <c r="B37" s="12">
        <f t="shared" ref="B37:B38" si="17">$C$2+7*(17-1)</f>
        <v>46306</v>
      </c>
      <c r="C37" s="17" t="s">
        <v>163</v>
      </c>
      <c r="D37" s="6" t="s">
        <v>109</v>
      </c>
      <c r="E37" s="6" t="s">
        <v>148</v>
      </c>
      <c r="F37" s="15" t="s">
        <v>317</v>
      </c>
      <c r="G37" s="6"/>
      <c r="H37" s="6"/>
      <c r="I37" s="16" t="s">
        <v>46</v>
      </c>
      <c r="J37" s="6"/>
      <c r="K37" s="6"/>
      <c r="L37" s="6"/>
      <c r="M37" s="6" t="s">
        <v>426</v>
      </c>
      <c r="N37" s="14"/>
    </row>
    <row r="38" ht="15.75" customHeight="1">
      <c r="A38" s="6">
        <v>17.0</v>
      </c>
      <c r="B38" s="12">
        <f t="shared" si="17"/>
        <v>46306</v>
      </c>
      <c r="C38" s="17" t="s">
        <v>163</v>
      </c>
      <c r="D38" s="6" t="s">
        <v>118</v>
      </c>
      <c r="E38" s="6" t="s">
        <v>148</v>
      </c>
      <c r="F38" s="22" t="s">
        <v>322</v>
      </c>
      <c r="G38" s="6"/>
      <c r="H38" s="6"/>
      <c r="I38" s="22" t="s">
        <v>326</v>
      </c>
      <c r="J38" s="6"/>
      <c r="K38" s="6"/>
      <c r="L38" s="6" t="s">
        <v>327</v>
      </c>
      <c r="M38" s="6" t="s">
        <v>426</v>
      </c>
      <c r="N38" s="14"/>
    </row>
    <row r="39" ht="15.75" customHeight="1">
      <c r="A39" s="6">
        <v>18.0</v>
      </c>
      <c r="B39" s="12">
        <f t="shared" ref="B39:B40" si="18">$C$2+7*(18-1)</f>
        <v>46313</v>
      </c>
      <c r="C39" s="17" t="s">
        <v>163</v>
      </c>
      <c r="D39" s="6" t="s">
        <v>109</v>
      </c>
      <c r="E39" s="6" t="s">
        <v>148</v>
      </c>
      <c r="F39" s="15" t="s">
        <v>336</v>
      </c>
      <c r="G39" s="6"/>
      <c r="H39" s="6"/>
      <c r="I39" s="16" t="s">
        <v>46</v>
      </c>
      <c r="J39" s="6"/>
      <c r="K39" s="6"/>
      <c r="L39" s="6" t="s">
        <v>339</v>
      </c>
      <c r="M39" s="6" t="s">
        <v>445</v>
      </c>
      <c r="N39" s="14"/>
    </row>
    <row r="40" ht="15.75" customHeight="1">
      <c r="A40" s="6">
        <v>18.0</v>
      </c>
      <c r="B40" s="12">
        <f t="shared" si="18"/>
        <v>46313</v>
      </c>
      <c r="C40" s="17" t="s">
        <v>163</v>
      </c>
      <c r="D40" s="6" t="s">
        <v>118</v>
      </c>
      <c r="E40" s="6" t="s">
        <v>148</v>
      </c>
      <c r="F40" s="22" t="s">
        <v>342</v>
      </c>
      <c r="G40" s="6"/>
      <c r="H40" s="6"/>
      <c r="I40" s="22" t="s">
        <v>326</v>
      </c>
      <c r="J40" s="6"/>
      <c r="K40" s="6"/>
      <c r="L40" s="6" t="s">
        <v>327</v>
      </c>
      <c r="M40" s="6" t="s">
        <v>445</v>
      </c>
      <c r="N40" s="14"/>
    </row>
    <row r="41" ht="15.75" customHeight="1">
      <c r="A41" s="6">
        <v>19.0</v>
      </c>
      <c r="B41" s="12">
        <f t="shared" ref="B41:B42" si="19">$C$2+7*(19-1)</f>
        <v>46320</v>
      </c>
      <c r="C41" s="23" t="s">
        <v>352</v>
      </c>
      <c r="D41" s="6" t="s">
        <v>109</v>
      </c>
      <c r="E41" s="6" t="s">
        <v>148</v>
      </c>
      <c r="F41" s="6" t="s">
        <v>461</v>
      </c>
      <c r="G41" s="6" t="s">
        <v>462</v>
      </c>
      <c r="H41" s="6">
        <v>5.0</v>
      </c>
      <c r="I41" s="6" t="s">
        <v>167</v>
      </c>
      <c r="J41" s="6" t="s">
        <v>464</v>
      </c>
      <c r="K41" s="6" t="s">
        <v>465</v>
      </c>
      <c r="L41" s="6" t="s">
        <v>466</v>
      </c>
      <c r="M41" s="6" t="s">
        <v>467</v>
      </c>
      <c r="N41" s="14"/>
    </row>
    <row r="42" ht="15.75" customHeight="1">
      <c r="A42" s="6">
        <v>19.0</v>
      </c>
      <c r="B42" s="12">
        <f t="shared" si="19"/>
        <v>46320</v>
      </c>
      <c r="C42" s="23" t="s">
        <v>352</v>
      </c>
      <c r="D42" s="6" t="s">
        <v>118</v>
      </c>
      <c r="E42" s="6" t="s">
        <v>148</v>
      </c>
      <c r="F42" s="6" t="s">
        <v>469</v>
      </c>
      <c r="G42" s="6" t="s">
        <v>471</v>
      </c>
      <c r="H42" s="6">
        <v>2.0</v>
      </c>
      <c r="I42" s="6" t="s">
        <v>175</v>
      </c>
      <c r="J42" s="6"/>
      <c r="K42" s="6" t="s">
        <v>472</v>
      </c>
      <c r="L42" s="6"/>
      <c r="M42" s="6" t="s">
        <v>474</v>
      </c>
      <c r="N42" s="14"/>
    </row>
    <row r="43" ht="15.75" customHeight="1">
      <c r="A43" s="6">
        <v>20.0</v>
      </c>
      <c r="B43" s="12">
        <f t="shared" ref="B43:B44" si="20">$C$2+7*(20-1)</f>
        <v>46327</v>
      </c>
      <c r="C43" s="23" t="s">
        <v>352</v>
      </c>
      <c r="D43" s="6" t="s">
        <v>109</v>
      </c>
      <c r="E43" s="6" t="s">
        <v>148</v>
      </c>
      <c r="F43" s="6" t="s">
        <v>482</v>
      </c>
      <c r="G43" s="6" t="s">
        <v>483</v>
      </c>
      <c r="H43" s="6">
        <v>3.0</v>
      </c>
      <c r="I43" s="6" t="s">
        <v>175</v>
      </c>
      <c r="J43" s="6"/>
      <c r="K43" s="6" t="s">
        <v>465</v>
      </c>
      <c r="L43" s="6" t="s">
        <v>486</v>
      </c>
      <c r="M43" s="6" t="s">
        <v>488</v>
      </c>
      <c r="N43" s="14"/>
    </row>
    <row r="44" ht="15.75" customHeight="1">
      <c r="A44" s="6">
        <v>20.0</v>
      </c>
      <c r="B44" s="12">
        <f t="shared" si="20"/>
        <v>46327</v>
      </c>
      <c r="C44" s="23" t="s">
        <v>352</v>
      </c>
      <c r="D44" s="6" t="s">
        <v>118</v>
      </c>
      <c r="E44" s="6" t="s">
        <v>148</v>
      </c>
      <c r="F44" s="6" t="s">
        <v>489</v>
      </c>
      <c r="G44" s="6" t="s">
        <v>490</v>
      </c>
      <c r="H44" s="6">
        <v>2.0</v>
      </c>
      <c r="I44" s="6" t="s">
        <v>175</v>
      </c>
      <c r="J44" s="6"/>
      <c r="K44" s="6" t="s">
        <v>472</v>
      </c>
      <c r="L44" s="6"/>
      <c r="M44" s="6" t="s">
        <v>494</v>
      </c>
      <c r="N44" s="14"/>
    </row>
    <row r="45" ht="15.75" customHeight="1">
      <c r="A45" s="6">
        <v>21.0</v>
      </c>
      <c r="B45" s="12">
        <f t="shared" ref="B45:B46" si="21">$C$2+7*(21-1)</f>
        <v>46334</v>
      </c>
      <c r="C45" s="23" t="s">
        <v>352</v>
      </c>
      <c r="D45" s="6" t="s">
        <v>109</v>
      </c>
      <c r="E45" s="6" t="s">
        <v>148</v>
      </c>
      <c r="F45" s="6" t="s">
        <v>503</v>
      </c>
      <c r="G45" s="6" t="s">
        <v>505</v>
      </c>
      <c r="H45" s="6">
        <v>3.0</v>
      </c>
      <c r="I45" s="6" t="s">
        <v>167</v>
      </c>
      <c r="J45" s="6" t="s">
        <v>507</v>
      </c>
      <c r="K45" s="6" t="s">
        <v>465</v>
      </c>
      <c r="L45" s="6" t="s">
        <v>509</v>
      </c>
      <c r="M45" s="6" t="s">
        <v>510</v>
      </c>
      <c r="N45" s="14"/>
    </row>
    <row r="46" ht="15.75" customHeight="1">
      <c r="A46" s="6">
        <v>21.0</v>
      </c>
      <c r="B46" s="12">
        <f t="shared" si="21"/>
        <v>46334</v>
      </c>
      <c r="C46" s="23" t="s">
        <v>352</v>
      </c>
      <c r="D46" s="6" t="s">
        <v>118</v>
      </c>
      <c r="E46" s="6" t="s">
        <v>148</v>
      </c>
      <c r="F46" s="6" t="s">
        <v>513</v>
      </c>
      <c r="G46" s="6"/>
      <c r="H46" s="6"/>
      <c r="I46" s="6" t="s">
        <v>204</v>
      </c>
      <c r="J46" s="6" t="s">
        <v>514</v>
      </c>
      <c r="K46" s="6" t="s">
        <v>472</v>
      </c>
      <c r="L46" s="6" t="s">
        <v>206</v>
      </c>
      <c r="M46" s="6" t="s">
        <v>516</v>
      </c>
      <c r="N46" s="14"/>
    </row>
    <row r="47" ht="15.75" customHeight="1">
      <c r="A47" s="6">
        <v>22.0</v>
      </c>
      <c r="B47" s="12">
        <f t="shared" ref="B47:B48" si="22">$C$2+7*(22-1)</f>
        <v>46341</v>
      </c>
      <c r="C47" s="23" t="s">
        <v>352</v>
      </c>
      <c r="D47" s="6" t="s">
        <v>109</v>
      </c>
      <c r="E47" s="6" t="s">
        <v>148</v>
      </c>
      <c r="F47" s="6" t="s">
        <v>522</v>
      </c>
      <c r="G47" s="6"/>
      <c r="H47" s="6"/>
      <c r="I47" s="6" t="s">
        <v>204</v>
      </c>
      <c r="J47" s="6"/>
      <c r="K47" s="6" t="s">
        <v>465</v>
      </c>
      <c r="L47" s="6"/>
      <c r="M47" s="6" t="s">
        <v>528</v>
      </c>
      <c r="N47" s="14"/>
    </row>
    <row r="48" ht="15.75" customHeight="1">
      <c r="A48" s="6">
        <v>22.0</v>
      </c>
      <c r="B48" s="12">
        <f t="shared" si="22"/>
        <v>46341</v>
      </c>
      <c r="C48" s="23" t="s">
        <v>352</v>
      </c>
      <c r="D48" s="6" t="s">
        <v>118</v>
      </c>
      <c r="E48" s="6" t="s">
        <v>148</v>
      </c>
      <c r="F48" s="19" t="s">
        <v>533</v>
      </c>
      <c r="G48" s="6"/>
      <c r="H48" s="6"/>
      <c r="I48" s="19" t="s">
        <v>280</v>
      </c>
      <c r="J48" s="6"/>
      <c r="K48" s="6" t="s">
        <v>472</v>
      </c>
      <c r="L48" s="6" t="s">
        <v>536</v>
      </c>
      <c r="M48" s="6" t="s">
        <v>469</v>
      </c>
      <c r="N48" s="14"/>
    </row>
    <row r="49" ht="15.75" customHeight="1">
      <c r="A49" s="6">
        <v>23.0</v>
      </c>
      <c r="B49" s="12">
        <f t="shared" ref="B49:B50" si="23">$C$2+7*(23-1)</f>
        <v>46348</v>
      </c>
      <c r="C49" s="23" t="s">
        <v>352</v>
      </c>
      <c r="D49" s="6" t="s">
        <v>109</v>
      </c>
      <c r="E49" s="6" t="s">
        <v>148</v>
      </c>
      <c r="F49" s="19" t="s">
        <v>548</v>
      </c>
      <c r="G49" s="6"/>
      <c r="H49" s="6"/>
      <c r="I49" s="19" t="s">
        <v>280</v>
      </c>
      <c r="J49" s="6"/>
      <c r="K49" s="6" t="s">
        <v>465</v>
      </c>
      <c r="L49" s="6"/>
      <c r="M49" s="6" t="s">
        <v>444</v>
      </c>
      <c r="N49" s="14"/>
    </row>
    <row r="50" ht="15.75" customHeight="1">
      <c r="A50" s="6">
        <v>23.0</v>
      </c>
      <c r="B50" s="12">
        <f t="shared" si="23"/>
        <v>46348</v>
      </c>
      <c r="C50" s="23" t="s">
        <v>352</v>
      </c>
      <c r="D50" s="18" t="s">
        <v>236</v>
      </c>
      <c r="E50" s="6" t="s">
        <v>148</v>
      </c>
      <c r="F50" s="20" t="s">
        <v>570</v>
      </c>
      <c r="G50" s="6"/>
      <c r="H50" s="6"/>
      <c r="I50" s="21" t="s">
        <v>288</v>
      </c>
      <c r="J50" s="6" t="s">
        <v>573</v>
      </c>
      <c r="K50" s="6" t="s">
        <v>465</v>
      </c>
      <c r="L50" s="6" t="s">
        <v>575</v>
      </c>
      <c r="M50" s="6" t="s">
        <v>576</v>
      </c>
      <c r="N50" s="14"/>
    </row>
    <row r="51" ht="15.75" customHeight="1">
      <c r="A51" s="6">
        <v>24.0</v>
      </c>
      <c r="B51" s="12">
        <f t="shared" ref="B51:B52" si="24">$C$2+7*(24-1)</f>
        <v>46355</v>
      </c>
      <c r="C51" s="23" t="s">
        <v>352</v>
      </c>
      <c r="D51" s="6" t="s">
        <v>109</v>
      </c>
      <c r="E51" s="6" t="s">
        <v>148</v>
      </c>
      <c r="F51" s="19" t="s">
        <v>441</v>
      </c>
      <c r="G51" s="6"/>
      <c r="H51" s="6"/>
      <c r="I51" s="19" t="s">
        <v>280</v>
      </c>
      <c r="J51" s="6"/>
      <c r="K51" s="6" t="s">
        <v>465</v>
      </c>
      <c r="L51" s="6"/>
      <c r="M51" s="6" t="s">
        <v>444</v>
      </c>
      <c r="N51" s="14"/>
    </row>
    <row r="52" ht="15.75" customHeight="1">
      <c r="A52" s="6">
        <v>24.0</v>
      </c>
      <c r="B52" s="12">
        <f t="shared" si="24"/>
        <v>46355</v>
      </c>
      <c r="C52" s="23" t="s">
        <v>352</v>
      </c>
      <c r="D52" s="6" t="s">
        <v>118</v>
      </c>
      <c r="E52" s="6" t="s">
        <v>148</v>
      </c>
      <c r="F52" s="19" t="s">
        <v>590</v>
      </c>
      <c r="G52" s="6"/>
      <c r="H52" s="6"/>
      <c r="I52" s="19" t="s">
        <v>280</v>
      </c>
      <c r="J52" s="6"/>
      <c r="K52" s="6" t="s">
        <v>472</v>
      </c>
      <c r="L52" s="6"/>
      <c r="M52" s="6" t="s">
        <v>593</v>
      </c>
      <c r="N52" s="14"/>
    </row>
    <row r="53" ht="15.75" customHeight="1">
      <c r="A53" s="6">
        <v>25.0</v>
      </c>
      <c r="B53" s="12">
        <f t="shared" ref="B53:B54" si="25">$C$2+7*(25-1)</f>
        <v>46362</v>
      </c>
      <c r="C53" s="23" t="s">
        <v>352</v>
      </c>
      <c r="D53" s="6" t="s">
        <v>109</v>
      </c>
      <c r="E53" s="6" t="s">
        <v>148</v>
      </c>
      <c r="F53" s="15" t="s">
        <v>455</v>
      </c>
      <c r="G53" s="6"/>
      <c r="H53" s="6"/>
      <c r="I53" s="16" t="s">
        <v>46</v>
      </c>
      <c r="J53" s="6"/>
      <c r="K53" s="6"/>
      <c r="L53" s="6"/>
      <c r="M53" s="6" t="s">
        <v>444</v>
      </c>
      <c r="N53" s="14"/>
    </row>
    <row r="54" ht="15.75" customHeight="1">
      <c r="A54" s="6">
        <v>25.0</v>
      </c>
      <c r="B54" s="12">
        <f t="shared" si="25"/>
        <v>46362</v>
      </c>
      <c r="C54" s="23" t="s">
        <v>352</v>
      </c>
      <c r="D54" s="6" t="s">
        <v>118</v>
      </c>
      <c r="E54" s="6" t="s">
        <v>148</v>
      </c>
      <c r="F54" s="22" t="s">
        <v>322</v>
      </c>
      <c r="G54" s="6"/>
      <c r="H54" s="6"/>
      <c r="I54" s="22" t="s">
        <v>326</v>
      </c>
      <c r="J54" s="6"/>
      <c r="K54" s="6"/>
      <c r="L54" s="6" t="s">
        <v>327</v>
      </c>
      <c r="M54" s="6" t="s">
        <v>606</v>
      </c>
      <c r="N54" s="14"/>
    </row>
    <row r="55" ht="15.75" customHeight="1">
      <c r="A55" s="6">
        <v>26.0</v>
      </c>
      <c r="B55" s="12">
        <f t="shared" ref="B55:B56" si="26">$C$2+7*(26-1)</f>
        <v>46369</v>
      </c>
      <c r="C55" s="23" t="s">
        <v>352</v>
      </c>
      <c r="D55" s="6" t="s">
        <v>109</v>
      </c>
      <c r="E55" s="6" t="s">
        <v>148</v>
      </c>
      <c r="F55" s="15" t="s">
        <v>476</v>
      </c>
      <c r="G55" s="6"/>
      <c r="H55" s="6"/>
      <c r="I55" s="16" t="s">
        <v>46</v>
      </c>
      <c r="J55" s="6"/>
      <c r="K55" s="6"/>
      <c r="L55" s="6" t="s">
        <v>339</v>
      </c>
      <c r="M55" s="6" t="s">
        <v>620</v>
      </c>
      <c r="N55" s="14"/>
    </row>
    <row r="56" ht="15.75" customHeight="1">
      <c r="A56" s="6">
        <v>26.0</v>
      </c>
      <c r="B56" s="12">
        <f t="shared" si="26"/>
        <v>46369</v>
      </c>
      <c r="C56" s="23" t="s">
        <v>352</v>
      </c>
      <c r="D56" s="6" t="s">
        <v>118</v>
      </c>
      <c r="E56" s="6" t="s">
        <v>148</v>
      </c>
      <c r="F56" s="22" t="s">
        <v>342</v>
      </c>
      <c r="G56" s="6"/>
      <c r="H56" s="6"/>
      <c r="I56" s="22" t="s">
        <v>326</v>
      </c>
      <c r="J56" s="6"/>
      <c r="K56" s="6"/>
      <c r="L56" s="6" t="s">
        <v>327</v>
      </c>
      <c r="M56" s="6" t="s">
        <v>620</v>
      </c>
      <c r="N56" s="14"/>
    </row>
    <row r="57" ht="15.75" customHeight="1">
      <c r="A57" s="6">
        <v>27.0</v>
      </c>
      <c r="B57" s="12">
        <f t="shared" ref="B57:B58" si="27">$C$2+7*(27-1)</f>
        <v>46376</v>
      </c>
      <c r="C57" s="23" t="s">
        <v>352</v>
      </c>
      <c r="D57" s="6" t="s">
        <v>109</v>
      </c>
      <c r="E57" s="6" t="s">
        <v>148</v>
      </c>
      <c r="F57" s="19" t="s">
        <v>492</v>
      </c>
      <c r="G57" s="6"/>
      <c r="H57" s="6"/>
      <c r="I57" s="19" t="s">
        <v>280</v>
      </c>
      <c r="J57" s="6"/>
      <c r="K57" s="6" t="s">
        <v>465</v>
      </c>
      <c r="L57" s="6"/>
      <c r="M57" s="6" t="s">
        <v>633</v>
      </c>
      <c r="N57" s="14"/>
    </row>
    <row r="58" ht="15.75" customHeight="1">
      <c r="A58" s="6">
        <v>27.0</v>
      </c>
      <c r="B58" s="12">
        <f t="shared" si="27"/>
        <v>46376</v>
      </c>
      <c r="C58" s="23" t="s">
        <v>352</v>
      </c>
      <c r="D58" s="6" t="s">
        <v>118</v>
      </c>
      <c r="E58" s="6" t="s">
        <v>148</v>
      </c>
      <c r="F58" s="19" t="s">
        <v>501</v>
      </c>
      <c r="G58" s="6"/>
      <c r="H58" s="6"/>
      <c r="I58" s="19" t="s">
        <v>280</v>
      </c>
      <c r="J58" s="6"/>
      <c r="K58" s="6" t="s">
        <v>472</v>
      </c>
      <c r="L58" s="6"/>
      <c r="M58" s="6" t="s">
        <v>638</v>
      </c>
      <c r="N58" s="14"/>
    </row>
    <row r="59" ht="15.75" customHeight="1">
      <c r="A59" s="6">
        <v>28.0</v>
      </c>
      <c r="B59" s="12">
        <f t="shared" ref="B59:B60" si="28">$C$2+7*(28-1)</f>
        <v>46383</v>
      </c>
      <c r="C59" s="24" t="s">
        <v>511</v>
      </c>
      <c r="D59" s="6" t="s">
        <v>109</v>
      </c>
      <c r="E59" s="6" t="s">
        <v>148</v>
      </c>
      <c r="F59" s="6" t="s">
        <v>645</v>
      </c>
      <c r="G59" s="6" t="s">
        <v>646</v>
      </c>
      <c r="H59" s="6">
        <v>2.0</v>
      </c>
      <c r="I59" s="6" t="s">
        <v>175</v>
      </c>
      <c r="J59" s="6"/>
      <c r="K59" s="6" t="s">
        <v>465</v>
      </c>
      <c r="L59" s="6"/>
      <c r="M59" s="6" t="s">
        <v>651</v>
      </c>
      <c r="N59" s="14"/>
    </row>
    <row r="60" ht="15.75" customHeight="1">
      <c r="A60" s="6">
        <v>28.0</v>
      </c>
      <c r="B60" s="12">
        <f t="shared" si="28"/>
        <v>46383</v>
      </c>
      <c r="C60" s="24" t="s">
        <v>511</v>
      </c>
      <c r="D60" s="6" t="s">
        <v>118</v>
      </c>
      <c r="E60" s="6" t="s">
        <v>148</v>
      </c>
      <c r="F60" s="6" t="s">
        <v>654</v>
      </c>
      <c r="G60" s="6" t="s">
        <v>655</v>
      </c>
      <c r="H60" s="6">
        <v>3.0</v>
      </c>
      <c r="I60" s="6" t="s">
        <v>167</v>
      </c>
      <c r="J60" s="6"/>
      <c r="K60" s="6" t="s">
        <v>472</v>
      </c>
      <c r="L60" s="6" t="s">
        <v>656</v>
      </c>
      <c r="M60" s="6" t="s">
        <v>658</v>
      </c>
      <c r="N60" s="14"/>
    </row>
    <row r="61" ht="15.75" customHeight="1">
      <c r="A61" s="6">
        <v>29.0</v>
      </c>
      <c r="B61" s="12">
        <f t="shared" ref="B61:B62" si="29">$C$2+7*(29-1)</f>
        <v>46390</v>
      </c>
      <c r="C61" s="24" t="s">
        <v>511</v>
      </c>
      <c r="D61" s="6" t="s">
        <v>109</v>
      </c>
      <c r="E61" s="6" t="s">
        <v>148</v>
      </c>
      <c r="F61" s="6" t="s">
        <v>664</v>
      </c>
      <c r="G61" s="6" t="s">
        <v>666</v>
      </c>
      <c r="H61" s="6">
        <v>2.0</v>
      </c>
      <c r="I61" s="6" t="s">
        <v>175</v>
      </c>
      <c r="J61" s="6"/>
      <c r="K61" s="6" t="s">
        <v>465</v>
      </c>
      <c r="L61" s="6" t="s">
        <v>668</v>
      </c>
      <c r="M61" s="6" t="s">
        <v>669</v>
      </c>
      <c r="N61" s="14"/>
    </row>
    <row r="62" ht="15.75" customHeight="1">
      <c r="A62" s="6">
        <v>29.0</v>
      </c>
      <c r="B62" s="12">
        <f t="shared" si="29"/>
        <v>46390</v>
      </c>
      <c r="C62" s="24" t="s">
        <v>511</v>
      </c>
      <c r="D62" s="6" t="s">
        <v>118</v>
      </c>
      <c r="E62" s="6" t="s">
        <v>148</v>
      </c>
      <c r="F62" s="6" t="s">
        <v>672</v>
      </c>
      <c r="G62" s="6" t="s">
        <v>673</v>
      </c>
      <c r="H62" s="6">
        <v>1.0</v>
      </c>
      <c r="I62" s="6" t="s">
        <v>175</v>
      </c>
      <c r="J62" s="6"/>
      <c r="K62" s="6" t="s">
        <v>472</v>
      </c>
      <c r="L62" s="6" t="s">
        <v>249</v>
      </c>
      <c r="M62" s="6" t="s">
        <v>676</v>
      </c>
      <c r="N62" s="14"/>
    </row>
    <row r="63" ht="15.75" customHeight="1">
      <c r="A63" s="6">
        <v>30.0</v>
      </c>
      <c r="B63" s="12">
        <f t="shared" ref="B63:B64" si="30">$C$2+7*(30-1)</f>
        <v>46397</v>
      </c>
      <c r="C63" s="24" t="s">
        <v>511</v>
      </c>
      <c r="D63" s="6" t="s">
        <v>109</v>
      </c>
      <c r="E63" s="6" t="s">
        <v>148</v>
      </c>
      <c r="F63" s="6" t="s">
        <v>685</v>
      </c>
      <c r="G63" s="6"/>
      <c r="H63" s="6"/>
      <c r="I63" s="6" t="s">
        <v>204</v>
      </c>
      <c r="J63" s="6"/>
      <c r="K63" s="6" t="s">
        <v>465</v>
      </c>
      <c r="L63" s="6" t="s">
        <v>689</v>
      </c>
      <c r="M63" s="6" t="s">
        <v>690</v>
      </c>
      <c r="N63" s="14"/>
    </row>
    <row r="64" ht="15.75" customHeight="1">
      <c r="A64" s="6">
        <v>30.0</v>
      </c>
      <c r="B64" s="12">
        <f t="shared" si="30"/>
        <v>46397</v>
      </c>
      <c r="C64" s="24" t="s">
        <v>511</v>
      </c>
      <c r="D64" s="6" t="s">
        <v>118</v>
      </c>
      <c r="E64" s="6" t="s">
        <v>148</v>
      </c>
      <c r="F64" s="6" t="s">
        <v>694</v>
      </c>
      <c r="G64" s="6" t="s">
        <v>695</v>
      </c>
      <c r="H64" s="6">
        <v>2.0</v>
      </c>
      <c r="I64" s="6" t="s">
        <v>175</v>
      </c>
      <c r="J64" s="6"/>
      <c r="K64" s="6" t="s">
        <v>472</v>
      </c>
      <c r="L64" s="6"/>
      <c r="M64" s="6" t="s">
        <v>699</v>
      </c>
      <c r="N64" s="14"/>
    </row>
    <row r="65" ht="15.75" customHeight="1">
      <c r="A65" s="6">
        <v>31.0</v>
      </c>
      <c r="B65" s="12">
        <f t="shared" ref="B65:B66" si="31">$C$2+7*(31-1)</f>
        <v>46404</v>
      </c>
      <c r="C65" s="24" t="s">
        <v>511</v>
      </c>
      <c r="D65" s="6" t="s">
        <v>109</v>
      </c>
      <c r="E65" s="6" t="s">
        <v>148</v>
      </c>
      <c r="F65" s="6" t="s">
        <v>708</v>
      </c>
      <c r="G65" s="6" t="s">
        <v>709</v>
      </c>
      <c r="H65" s="6">
        <v>4.0</v>
      </c>
      <c r="I65" s="6" t="s">
        <v>167</v>
      </c>
      <c r="J65" s="6"/>
      <c r="K65" s="6" t="s">
        <v>465</v>
      </c>
      <c r="L65" s="6" t="s">
        <v>712</v>
      </c>
      <c r="M65" s="6" t="s">
        <v>714</v>
      </c>
      <c r="N65" s="14"/>
    </row>
    <row r="66" ht="15.75" customHeight="1">
      <c r="A66" s="6">
        <v>31.0</v>
      </c>
      <c r="B66" s="12">
        <f t="shared" si="31"/>
        <v>46404</v>
      </c>
      <c r="C66" s="24" t="s">
        <v>511</v>
      </c>
      <c r="D66" s="6" t="s">
        <v>118</v>
      </c>
      <c r="E66" s="6" t="s">
        <v>148</v>
      </c>
      <c r="F66" s="6" t="s">
        <v>716</v>
      </c>
      <c r="G66" s="6" t="s">
        <v>717</v>
      </c>
      <c r="H66" s="6">
        <v>2.0</v>
      </c>
      <c r="I66" s="6" t="s">
        <v>175</v>
      </c>
      <c r="J66" s="6"/>
      <c r="K66" s="6" t="s">
        <v>472</v>
      </c>
      <c r="L66" s="6"/>
      <c r="M66" s="6" t="s">
        <v>718</v>
      </c>
      <c r="N66" s="14"/>
    </row>
    <row r="67" ht="15.75" customHeight="1">
      <c r="A67" s="6">
        <v>32.0</v>
      </c>
      <c r="B67" s="12">
        <f t="shared" ref="B67:B68" si="32">$C$2+7*(32-1)</f>
        <v>46411</v>
      </c>
      <c r="C67" s="24" t="s">
        <v>511</v>
      </c>
      <c r="D67" s="6" t="s">
        <v>109</v>
      </c>
      <c r="E67" s="6" t="s">
        <v>148</v>
      </c>
      <c r="F67" s="6" t="s">
        <v>725</v>
      </c>
      <c r="G67" s="6" t="s">
        <v>727</v>
      </c>
      <c r="H67" s="6">
        <v>2.0</v>
      </c>
      <c r="I67" s="6" t="s">
        <v>175</v>
      </c>
      <c r="J67" s="6"/>
      <c r="K67" s="6" t="s">
        <v>465</v>
      </c>
      <c r="L67" s="6" t="s">
        <v>249</v>
      </c>
      <c r="M67" s="6" t="s">
        <v>730</v>
      </c>
      <c r="N67" s="14"/>
    </row>
    <row r="68" ht="15.75" customHeight="1">
      <c r="A68" s="6">
        <v>32.0</v>
      </c>
      <c r="B68" s="12">
        <f t="shared" si="32"/>
        <v>46411</v>
      </c>
      <c r="C68" s="24" t="s">
        <v>511</v>
      </c>
      <c r="D68" s="18" t="s">
        <v>236</v>
      </c>
      <c r="E68" s="6" t="s">
        <v>148</v>
      </c>
      <c r="F68" s="6" t="s">
        <v>736</v>
      </c>
      <c r="G68" s="6" t="s">
        <v>739</v>
      </c>
      <c r="H68" s="6">
        <v>3.0</v>
      </c>
      <c r="I68" s="6" t="s">
        <v>175</v>
      </c>
      <c r="J68" s="6"/>
      <c r="K68" s="6" t="s">
        <v>465</v>
      </c>
      <c r="L68" s="6" t="s">
        <v>740</v>
      </c>
      <c r="M68" s="6" t="s">
        <v>741</v>
      </c>
      <c r="N68" s="14"/>
    </row>
    <row r="69" ht="15.75" customHeight="1">
      <c r="A69" s="6">
        <v>33.0</v>
      </c>
      <c r="B69" s="12">
        <f t="shared" ref="B69:B70" si="33">$C$2+7*(33-1)</f>
        <v>46418</v>
      </c>
      <c r="C69" s="24" t="s">
        <v>511</v>
      </c>
      <c r="D69" s="6" t="s">
        <v>109</v>
      </c>
      <c r="E69" s="6" t="s">
        <v>148</v>
      </c>
      <c r="F69" s="6" t="s">
        <v>748</v>
      </c>
      <c r="G69" s="6" t="s">
        <v>749</v>
      </c>
      <c r="H69" s="6">
        <v>2.0</v>
      </c>
      <c r="I69" s="6" t="s">
        <v>175</v>
      </c>
      <c r="J69" s="6"/>
      <c r="K69" s="6" t="s">
        <v>465</v>
      </c>
      <c r="L69" s="6"/>
      <c r="M69" s="6"/>
      <c r="N69" s="14"/>
    </row>
    <row r="70" ht="15.75" customHeight="1">
      <c r="A70" s="6">
        <v>33.0</v>
      </c>
      <c r="B70" s="12">
        <f t="shared" si="33"/>
        <v>46418</v>
      </c>
      <c r="C70" s="24" t="s">
        <v>511</v>
      </c>
      <c r="D70" s="6" t="s">
        <v>118</v>
      </c>
      <c r="E70" s="6" t="s">
        <v>148</v>
      </c>
      <c r="F70" s="6" t="s">
        <v>756</v>
      </c>
      <c r="G70" s="6"/>
      <c r="H70" s="6"/>
      <c r="I70" s="6" t="s">
        <v>204</v>
      </c>
      <c r="J70" s="6"/>
      <c r="K70" s="6" t="s">
        <v>472</v>
      </c>
      <c r="L70" s="6" t="s">
        <v>758</v>
      </c>
      <c r="M70" s="6"/>
      <c r="N70" s="14"/>
    </row>
    <row r="71" ht="15.75" customHeight="1">
      <c r="A71" s="6">
        <v>34.0</v>
      </c>
      <c r="B71" s="12">
        <f>$C$2+7*(34-1)</f>
        <v>46425</v>
      </c>
      <c r="C71" s="24" t="s">
        <v>511</v>
      </c>
      <c r="D71" s="6" t="s">
        <v>156</v>
      </c>
      <c r="E71" s="6"/>
      <c r="F71" s="25" t="s">
        <v>626</v>
      </c>
      <c r="G71" s="6"/>
      <c r="H71" s="6"/>
      <c r="I71" s="25" t="s">
        <v>630</v>
      </c>
      <c r="J71" s="6"/>
      <c r="K71" s="6"/>
      <c r="L71" s="6" t="s">
        <v>632</v>
      </c>
      <c r="M71" s="6"/>
      <c r="N71" s="14"/>
    </row>
    <row r="72" ht="15.75" customHeight="1">
      <c r="A72" s="6">
        <v>35.0</v>
      </c>
      <c r="B72" s="12">
        <f t="shared" ref="B72:B73" si="34">$C$2+7*(35-1)</f>
        <v>46432</v>
      </c>
      <c r="C72" s="24" t="s">
        <v>511</v>
      </c>
      <c r="D72" s="6" t="s">
        <v>109</v>
      </c>
      <c r="E72" s="6" t="s">
        <v>148</v>
      </c>
      <c r="F72" s="19" t="s">
        <v>770</v>
      </c>
      <c r="G72" s="6"/>
      <c r="H72" s="6"/>
      <c r="I72" s="19" t="s">
        <v>280</v>
      </c>
      <c r="J72" s="6"/>
      <c r="K72" s="6" t="s">
        <v>465</v>
      </c>
      <c r="L72" s="6"/>
      <c r="M72" s="6" t="s">
        <v>775</v>
      </c>
      <c r="N72" s="14"/>
    </row>
    <row r="73" ht="15.75" customHeight="1">
      <c r="A73" s="6">
        <v>35.0</v>
      </c>
      <c r="B73" s="12">
        <f t="shared" si="34"/>
        <v>46432</v>
      </c>
      <c r="C73" s="24" t="s">
        <v>511</v>
      </c>
      <c r="D73" s="18" t="s">
        <v>236</v>
      </c>
      <c r="E73" s="6" t="s">
        <v>148</v>
      </c>
      <c r="F73" s="20" t="s">
        <v>779</v>
      </c>
      <c r="G73" s="6"/>
      <c r="H73" s="6"/>
      <c r="I73" s="21" t="s">
        <v>288</v>
      </c>
      <c r="J73" s="6" t="s">
        <v>781</v>
      </c>
      <c r="K73" s="6" t="s">
        <v>465</v>
      </c>
      <c r="L73" s="6" t="s">
        <v>782</v>
      </c>
      <c r="M73" s="6" t="s">
        <v>783</v>
      </c>
      <c r="N73" s="14"/>
    </row>
    <row r="74" ht="15.75" customHeight="1">
      <c r="A74" s="6">
        <v>36.0</v>
      </c>
      <c r="B74" s="12">
        <f t="shared" ref="B74:B75" si="35">$C$2+7*(36-1)</f>
        <v>46439</v>
      </c>
      <c r="C74" s="24" t="s">
        <v>511</v>
      </c>
      <c r="D74" s="6" t="s">
        <v>109</v>
      </c>
      <c r="E74" s="6" t="s">
        <v>148</v>
      </c>
      <c r="F74" s="15" t="s">
        <v>657</v>
      </c>
      <c r="G74" s="6"/>
      <c r="H74" s="6"/>
      <c r="I74" s="16" t="s">
        <v>46</v>
      </c>
      <c r="J74" s="6"/>
      <c r="K74" s="6"/>
      <c r="L74" s="6"/>
      <c r="M74" s="6" t="s">
        <v>791</v>
      </c>
      <c r="N74" s="14"/>
    </row>
    <row r="75" ht="15.75" customHeight="1">
      <c r="A75" s="6">
        <v>36.0</v>
      </c>
      <c r="B75" s="12">
        <f t="shared" si="35"/>
        <v>46439</v>
      </c>
      <c r="C75" s="24" t="s">
        <v>511</v>
      </c>
      <c r="D75" s="6" t="s">
        <v>118</v>
      </c>
      <c r="E75" s="6" t="s">
        <v>148</v>
      </c>
      <c r="F75" s="22" t="s">
        <v>322</v>
      </c>
      <c r="G75" s="6"/>
      <c r="H75" s="6"/>
      <c r="I75" s="22" t="s">
        <v>326</v>
      </c>
      <c r="J75" s="6"/>
      <c r="K75" s="6"/>
      <c r="L75" s="6" t="s">
        <v>327</v>
      </c>
      <c r="M75" s="6" t="s">
        <v>793</v>
      </c>
      <c r="N75" s="14"/>
    </row>
    <row r="76" ht="15.75" customHeight="1">
      <c r="A76" s="6">
        <v>37.0</v>
      </c>
      <c r="B76" s="12">
        <f t="shared" ref="B76:B77" si="36">$C$2+7*(37-1)</f>
        <v>46446</v>
      </c>
      <c r="C76" s="24" t="s">
        <v>511</v>
      </c>
      <c r="D76" s="6" t="s">
        <v>109</v>
      </c>
      <c r="E76" s="6" t="s">
        <v>148</v>
      </c>
      <c r="F76" s="15" t="s">
        <v>674</v>
      </c>
      <c r="G76" s="6"/>
      <c r="H76" s="6"/>
      <c r="I76" s="16" t="s">
        <v>46</v>
      </c>
      <c r="J76" s="6"/>
      <c r="K76" s="6"/>
      <c r="L76" s="6" t="s">
        <v>339</v>
      </c>
      <c r="M76" s="6" t="s">
        <v>801</v>
      </c>
      <c r="N76" s="14"/>
    </row>
    <row r="77" ht="15.75" customHeight="1">
      <c r="A77" s="6">
        <v>37.0</v>
      </c>
      <c r="B77" s="12">
        <f t="shared" si="36"/>
        <v>46446</v>
      </c>
      <c r="C77" s="24" t="s">
        <v>511</v>
      </c>
      <c r="D77" s="6" t="s">
        <v>118</v>
      </c>
      <c r="E77" s="6" t="s">
        <v>148</v>
      </c>
      <c r="F77" s="22" t="s">
        <v>342</v>
      </c>
      <c r="G77" s="6"/>
      <c r="H77" s="6"/>
      <c r="I77" s="22" t="s">
        <v>326</v>
      </c>
      <c r="J77" s="6"/>
      <c r="K77" s="6"/>
      <c r="L77" s="6" t="s">
        <v>327</v>
      </c>
      <c r="M77" s="6" t="s">
        <v>804</v>
      </c>
      <c r="N77" s="14"/>
    </row>
    <row r="78" ht="15.75" customHeight="1">
      <c r="A78" s="6">
        <v>38.0</v>
      </c>
      <c r="B78" s="12">
        <f t="shared" ref="B78:B79" si="37">$C$2+7*(38-1)</f>
        <v>46453</v>
      </c>
      <c r="C78" s="26" t="s">
        <v>693</v>
      </c>
      <c r="D78" s="6" t="s">
        <v>109</v>
      </c>
      <c r="E78" s="6" t="s">
        <v>148</v>
      </c>
      <c r="F78" s="6" t="s">
        <v>809</v>
      </c>
      <c r="G78" s="6" t="s">
        <v>810</v>
      </c>
      <c r="H78" s="6">
        <v>4.0</v>
      </c>
      <c r="I78" s="6" t="s">
        <v>167</v>
      </c>
      <c r="J78" s="6" t="s">
        <v>812</v>
      </c>
      <c r="K78" s="6" t="s">
        <v>465</v>
      </c>
      <c r="L78" s="6" t="s">
        <v>815</v>
      </c>
      <c r="M78" s="6" t="s">
        <v>817</v>
      </c>
      <c r="N78" s="14"/>
    </row>
    <row r="79" ht="15.75" customHeight="1">
      <c r="A79" s="6">
        <v>38.0</v>
      </c>
      <c r="B79" s="12">
        <f t="shared" si="37"/>
        <v>46453</v>
      </c>
      <c r="C79" s="26" t="s">
        <v>693</v>
      </c>
      <c r="D79" s="6" t="s">
        <v>118</v>
      </c>
      <c r="E79" s="6" t="s">
        <v>148</v>
      </c>
      <c r="F79" s="6" t="s">
        <v>820</v>
      </c>
      <c r="G79" s="6" t="s">
        <v>823</v>
      </c>
      <c r="H79" s="6">
        <v>6.0</v>
      </c>
      <c r="I79" s="6" t="s">
        <v>167</v>
      </c>
      <c r="J79" s="6"/>
      <c r="K79" s="6" t="s">
        <v>472</v>
      </c>
      <c r="L79" s="6" t="s">
        <v>826</v>
      </c>
      <c r="M79" s="6" t="s">
        <v>827</v>
      </c>
      <c r="N79" s="14"/>
    </row>
    <row r="80" ht="15.75" customHeight="1">
      <c r="A80" s="6">
        <v>39.0</v>
      </c>
      <c r="B80" s="12">
        <f t="shared" ref="B80:B81" si="38">$C$2+7*(39-1)</f>
        <v>46460</v>
      </c>
      <c r="C80" s="26" t="s">
        <v>693</v>
      </c>
      <c r="D80" s="6" t="s">
        <v>109</v>
      </c>
      <c r="E80" s="6" t="s">
        <v>148</v>
      </c>
      <c r="F80" s="6" t="s">
        <v>831</v>
      </c>
      <c r="G80" s="6"/>
      <c r="H80" s="6"/>
      <c r="I80" s="6" t="s">
        <v>204</v>
      </c>
      <c r="J80" s="6" t="s">
        <v>832</v>
      </c>
      <c r="K80" s="6" t="s">
        <v>465</v>
      </c>
      <c r="L80" s="6" t="s">
        <v>833</v>
      </c>
      <c r="M80" s="6" t="s">
        <v>834</v>
      </c>
      <c r="N80" s="14"/>
    </row>
    <row r="81" ht="15.75" customHeight="1">
      <c r="A81" s="6">
        <v>39.0</v>
      </c>
      <c r="B81" s="12">
        <f t="shared" si="38"/>
        <v>46460</v>
      </c>
      <c r="C81" s="26" t="s">
        <v>693</v>
      </c>
      <c r="D81" s="6" t="s">
        <v>118</v>
      </c>
      <c r="E81" s="6" t="s">
        <v>148</v>
      </c>
      <c r="F81" s="6" t="s">
        <v>839</v>
      </c>
      <c r="G81" s="6"/>
      <c r="H81" s="6"/>
      <c r="I81" s="6" t="s">
        <v>204</v>
      </c>
      <c r="J81" s="6"/>
      <c r="K81" s="6" t="s">
        <v>472</v>
      </c>
      <c r="L81" s="6"/>
      <c r="M81" s="6" t="s">
        <v>841</v>
      </c>
      <c r="N81" s="14"/>
    </row>
    <row r="82" ht="15.75" customHeight="1">
      <c r="A82" s="6">
        <v>40.0</v>
      </c>
      <c r="B82" s="12">
        <f t="shared" ref="B82:B83" si="39">$C$2+7*(40-1)</f>
        <v>46467</v>
      </c>
      <c r="C82" s="26" t="s">
        <v>693</v>
      </c>
      <c r="D82" s="6" t="s">
        <v>109</v>
      </c>
      <c r="E82" s="6" t="s">
        <v>148</v>
      </c>
      <c r="F82" s="6" t="s">
        <v>846</v>
      </c>
      <c r="G82" s="6"/>
      <c r="H82" s="6"/>
      <c r="I82" s="6" t="s">
        <v>204</v>
      </c>
      <c r="J82" s="6"/>
      <c r="K82" s="6" t="s">
        <v>465</v>
      </c>
      <c r="L82" s="6"/>
      <c r="M82" s="6" t="s">
        <v>847</v>
      </c>
      <c r="N82" s="14"/>
    </row>
    <row r="83" ht="15.75" customHeight="1">
      <c r="A83" s="6">
        <v>40.0</v>
      </c>
      <c r="B83" s="12">
        <f t="shared" si="39"/>
        <v>46467</v>
      </c>
      <c r="C83" s="26" t="s">
        <v>693</v>
      </c>
      <c r="D83" s="18" t="s">
        <v>236</v>
      </c>
      <c r="E83" s="6" t="s">
        <v>148</v>
      </c>
      <c r="F83" s="20" t="s">
        <v>851</v>
      </c>
      <c r="G83" s="6"/>
      <c r="H83" s="6"/>
      <c r="I83" s="21" t="s">
        <v>288</v>
      </c>
      <c r="J83" s="6" t="s">
        <v>854</v>
      </c>
      <c r="K83" s="6" t="s">
        <v>465</v>
      </c>
      <c r="L83" s="6" t="s">
        <v>733</v>
      </c>
      <c r="M83" s="6" t="s">
        <v>855</v>
      </c>
      <c r="N83" s="14"/>
    </row>
    <row r="84" ht="15.75" customHeight="1">
      <c r="A84" s="6">
        <v>41.0</v>
      </c>
      <c r="B84" s="12">
        <f t="shared" ref="B84:B85" si="40">$C$2+7*(41-1)</f>
        <v>46474</v>
      </c>
      <c r="C84" s="26" t="s">
        <v>693</v>
      </c>
      <c r="D84" s="6" t="s">
        <v>109</v>
      </c>
      <c r="E84" s="6" t="s">
        <v>148</v>
      </c>
      <c r="F84" s="19" t="s">
        <v>857</v>
      </c>
      <c r="G84" s="6"/>
      <c r="H84" s="6"/>
      <c r="I84" s="19" t="s">
        <v>280</v>
      </c>
      <c r="J84" s="6"/>
      <c r="K84" s="6" t="s">
        <v>465</v>
      </c>
      <c r="L84" s="6"/>
      <c r="M84" s="6" t="s">
        <v>860</v>
      </c>
      <c r="N84" s="14"/>
    </row>
    <row r="85" ht="15.75" customHeight="1">
      <c r="A85" s="6">
        <v>41.0</v>
      </c>
      <c r="B85" s="12">
        <f t="shared" si="40"/>
        <v>46474</v>
      </c>
      <c r="C85" s="26" t="s">
        <v>693</v>
      </c>
      <c r="D85" s="6" t="s">
        <v>118</v>
      </c>
      <c r="E85" s="6" t="s">
        <v>148</v>
      </c>
      <c r="F85" s="19" t="s">
        <v>863</v>
      </c>
      <c r="G85" s="6"/>
      <c r="H85" s="6"/>
      <c r="I85" s="19" t="s">
        <v>280</v>
      </c>
      <c r="J85" s="6"/>
      <c r="K85" s="6" t="s">
        <v>472</v>
      </c>
      <c r="L85" s="6" t="s">
        <v>866</v>
      </c>
      <c r="M85" s="6" t="s">
        <v>309</v>
      </c>
      <c r="N85" s="14"/>
    </row>
    <row r="86" ht="15.75" customHeight="1">
      <c r="A86" s="6">
        <v>42.0</v>
      </c>
      <c r="B86" s="12">
        <f t="shared" ref="B86:B87" si="41">$C$2+7*(42-1)</f>
        <v>46481</v>
      </c>
      <c r="C86" s="26" t="s">
        <v>693</v>
      </c>
      <c r="D86" s="6" t="s">
        <v>109</v>
      </c>
      <c r="E86" s="6" t="s">
        <v>148</v>
      </c>
      <c r="F86" s="19" t="s">
        <v>784</v>
      </c>
      <c r="G86" s="6"/>
      <c r="H86" s="6"/>
      <c r="I86" s="19" t="s">
        <v>280</v>
      </c>
      <c r="J86" s="6"/>
      <c r="K86" s="6" t="s">
        <v>465</v>
      </c>
      <c r="L86" s="6"/>
      <c r="M86" s="6" t="s">
        <v>872</v>
      </c>
      <c r="N86" s="14"/>
    </row>
    <row r="87" ht="15.75" customHeight="1">
      <c r="A87" s="6">
        <v>42.0</v>
      </c>
      <c r="B87" s="12">
        <f t="shared" si="41"/>
        <v>46481</v>
      </c>
      <c r="C87" s="26" t="s">
        <v>693</v>
      </c>
      <c r="D87" s="6" t="s">
        <v>118</v>
      </c>
      <c r="E87" s="6" t="s">
        <v>148</v>
      </c>
      <c r="F87" s="19" t="s">
        <v>875</v>
      </c>
      <c r="G87" s="6"/>
      <c r="H87" s="6"/>
      <c r="I87" s="19" t="s">
        <v>280</v>
      </c>
      <c r="J87" s="6"/>
      <c r="K87" s="6" t="s">
        <v>472</v>
      </c>
      <c r="L87" s="6"/>
      <c r="M87" s="6" t="s">
        <v>872</v>
      </c>
      <c r="N87" s="14"/>
    </row>
    <row r="88" ht="15.75" customHeight="1">
      <c r="A88" s="6">
        <v>43.0</v>
      </c>
      <c r="B88" s="12">
        <f t="shared" ref="B88:B89" si="42">$C$2+7*(43-1)</f>
        <v>46488</v>
      </c>
      <c r="C88" s="26" t="s">
        <v>693</v>
      </c>
      <c r="D88" s="6" t="s">
        <v>109</v>
      </c>
      <c r="E88" s="6" t="s">
        <v>148</v>
      </c>
      <c r="F88" s="15" t="s">
        <v>795</v>
      </c>
      <c r="G88" s="6"/>
      <c r="H88" s="6"/>
      <c r="I88" s="16" t="s">
        <v>46</v>
      </c>
      <c r="J88" s="6"/>
      <c r="K88" s="6"/>
      <c r="L88" s="6"/>
      <c r="M88" s="6" t="s">
        <v>882</v>
      </c>
      <c r="N88" s="14"/>
    </row>
    <row r="89" ht="15.75" customHeight="1">
      <c r="A89" s="6">
        <v>43.0</v>
      </c>
      <c r="B89" s="12">
        <f t="shared" si="42"/>
        <v>46488</v>
      </c>
      <c r="C89" s="26" t="s">
        <v>693</v>
      </c>
      <c r="D89" s="6" t="s">
        <v>118</v>
      </c>
      <c r="E89" s="6" t="s">
        <v>148</v>
      </c>
      <c r="F89" s="22" t="s">
        <v>322</v>
      </c>
      <c r="G89" s="6"/>
      <c r="H89" s="6"/>
      <c r="I89" s="22" t="s">
        <v>326</v>
      </c>
      <c r="J89" s="6"/>
      <c r="K89" s="6"/>
      <c r="L89" s="6" t="s">
        <v>327</v>
      </c>
      <c r="M89" s="6" t="s">
        <v>882</v>
      </c>
      <c r="N89" s="14"/>
    </row>
    <row r="90" ht="15.75" customHeight="1">
      <c r="A90" s="6">
        <v>44.0</v>
      </c>
      <c r="B90" s="12">
        <f t="shared" ref="B90:B91" si="43">$C$2+7*(44-1)</f>
        <v>46495</v>
      </c>
      <c r="C90" s="26" t="s">
        <v>693</v>
      </c>
      <c r="D90" s="6" t="s">
        <v>109</v>
      </c>
      <c r="E90" s="6" t="s">
        <v>148</v>
      </c>
      <c r="F90" s="15" t="s">
        <v>806</v>
      </c>
      <c r="G90" s="6"/>
      <c r="H90" s="6"/>
      <c r="I90" s="16" t="s">
        <v>46</v>
      </c>
      <c r="J90" s="6"/>
      <c r="K90" s="6"/>
      <c r="L90" s="6" t="s">
        <v>339</v>
      </c>
      <c r="M90" s="6" t="s">
        <v>893</v>
      </c>
      <c r="N90" s="14"/>
    </row>
    <row r="91" ht="15.75" customHeight="1">
      <c r="A91" s="6">
        <v>44.0</v>
      </c>
      <c r="B91" s="12">
        <f t="shared" si="43"/>
        <v>46495</v>
      </c>
      <c r="C91" s="26" t="s">
        <v>693</v>
      </c>
      <c r="D91" s="6" t="s">
        <v>118</v>
      </c>
      <c r="E91" s="6" t="s">
        <v>148</v>
      </c>
      <c r="F91" s="22" t="s">
        <v>342</v>
      </c>
      <c r="G91" s="6"/>
      <c r="H91" s="6"/>
      <c r="I91" s="22" t="s">
        <v>326</v>
      </c>
      <c r="J91" s="6"/>
      <c r="K91" s="6"/>
      <c r="L91" s="6" t="s">
        <v>327</v>
      </c>
      <c r="M91" s="6" t="s">
        <v>893</v>
      </c>
      <c r="N91" s="14"/>
    </row>
    <row r="92" ht="15.75" customHeight="1">
      <c r="A92" s="6">
        <v>45.0</v>
      </c>
      <c r="B92" s="12">
        <f t="shared" ref="B92:B93" si="44">$C$2+7*(45-1)</f>
        <v>46502</v>
      </c>
      <c r="C92" s="26" t="s">
        <v>693</v>
      </c>
      <c r="D92" s="6" t="s">
        <v>109</v>
      </c>
      <c r="E92" s="6" t="s">
        <v>148</v>
      </c>
      <c r="F92" s="19" t="s">
        <v>821</v>
      </c>
      <c r="G92" s="6"/>
      <c r="H92" s="6"/>
      <c r="I92" s="19" t="s">
        <v>280</v>
      </c>
      <c r="J92" s="6"/>
      <c r="K92" s="6" t="s">
        <v>465</v>
      </c>
      <c r="L92" s="6"/>
      <c r="M92" s="6"/>
      <c r="N92" s="14"/>
    </row>
    <row r="93" ht="15.75" customHeight="1">
      <c r="A93" s="6">
        <v>45.0</v>
      </c>
      <c r="B93" s="12">
        <f t="shared" si="44"/>
        <v>46502</v>
      </c>
      <c r="C93" s="26" t="s">
        <v>693</v>
      </c>
      <c r="D93" s="6" t="s">
        <v>118</v>
      </c>
      <c r="E93" s="6" t="s">
        <v>148</v>
      </c>
      <c r="F93" s="19" t="s">
        <v>828</v>
      </c>
      <c r="G93" s="6"/>
      <c r="H93" s="6"/>
      <c r="I93" s="19" t="s">
        <v>280</v>
      </c>
      <c r="J93" s="6"/>
      <c r="K93" s="6" t="s">
        <v>472</v>
      </c>
      <c r="L93" s="6"/>
      <c r="M93" s="6"/>
      <c r="N93" s="14"/>
    </row>
    <row r="94" ht="15.75" customHeight="1">
      <c r="A94" s="6" t="s">
        <v>830</v>
      </c>
      <c r="B94" s="12">
        <f>$C$2+7*(46-1)</f>
        <v>46509</v>
      </c>
      <c r="C94" s="26" t="s">
        <v>693</v>
      </c>
      <c r="D94" s="6" t="s">
        <v>156</v>
      </c>
      <c r="E94" s="6"/>
      <c r="F94" s="6" t="s">
        <v>836</v>
      </c>
      <c r="G94" s="6"/>
      <c r="H94" s="6"/>
      <c r="I94" s="6" t="s">
        <v>837</v>
      </c>
      <c r="J94" s="6"/>
      <c r="K94" s="6"/>
      <c r="L94" s="6" t="s">
        <v>838</v>
      </c>
      <c r="M94" s="6"/>
      <c r="N94" s="14"/>
    </row>
    <row r="95" ht="15.75" customHeight="1">
      <c r="N95" s="14"/>
    </row>
    <row r="96" ht="15.75" customHeight="1">
      <c r="N96" s="14"/>
    </row>
    <row r="97" ht="15.75" customHeight="1">
      <c r="N97" s="14"/>
    </row>
    <row r="98" ht="15.75" customHeight="1">
      <c r="N98" s="14"/>
    </row>
    <row r="99" ht="15.75" customHeight="1">
      <c r="N99" s="14"/>
    </row>
    <row r="100" ht="15.75" customHeight="1">
      <c r="N100" s="14"/>
    </row>
    <row r="101" ht="15.75" customHeight="1">
      <c r="N101" s="27"/>
    </row>
    <row r="102" ht="15.75" customHeight="1">
      <c r="N102" s="27"/>
    </row>
    <row r="103" ht="15.75" customHeight="1">
      <c r="N103" s="27"/>
    </row>
    <row r="104" ht="15.75" customHeight="1">
      <c r="N104" s="27"/>
    </row>
    <row r="105" ht="15.75" customHeight="1">
      <c r="N105" s="27"/>
    </row>
    <row r="106" ht="15.75" customHeight="1">
      <c r="N106" s="27"/>
    </row>
    <row r="107" ht="15.75" customHeight="1">
      <c r="N107" s="27"/>
    </row>
    <row r="108" ht="15.75" customHeight="1">
      <c r="N108" s="27"/>
    </row>
    <row r="109" ht="15.75" customHeight="1">
      <c r="N109" s="27"/>
    </row>
    <row r="110" ht="15.75" customHeight="1">
      <c r="N110" s="27"/>
    </row>
    <row r="111" ht="15.75" customHeight="1">
      <c r="N111" s="27"/>
    </row>
    <row r="112" ht="15.75" customHeight="1">
      <c r="N112" s="27"/>
    </row>
    <row r="113" ht="15.75" customHeight="1">
      <c r="N113" s="27"/>
    </row>
    <row r="114" ht="15.75" customHeight="1">
      <c r="N114" s="27"/>
    </row>
    <row r="115" ht="15.75" customHeight="1">
      <c r="N115" s="27"/>
    </row>
    <row r="116" ht="15.75" customHeight="1">
      <c r="N116" s="27"/>
    </row>
    <row r="117" ht="15.75" customHeight="1">
      <c r="N117" s="27"/>
    </row>
    <row r="118" ht="15.75" customHeight="1">
      <c r="N118" s="27"/>
    </row>
    <row r="119" ht="15.75" customHeight="1">
      <c r="N119" s="27"/>
    </row>
    <row r="120" ht="15.75" customHeight="1">
      <c r="N120" s="27"/>
    </row>
    <row r="121" ht="15.75" customHeight="1">
      <c r="N121" s="27"/>
    </row>
    <row r="122" ht="15.75" customHeight="1">
      <c r="N122" s="27"/>
    </row>
    <row r="123" ht="15.75" customHeight="1">
      <c r="N123" s="27"/>
    </row>
    <row r="124" ht="15.75" customHeight="1">
      <c r="N124" s="27"/>
    </row>
    <row r="125" ht="15.75" customHeight="1">
      <c r="N125" s="27"/>
    </row>
    <row r="126" ht="15.75" customHeight="1">
      <c r="N126" s="27"/>
    </row>
    <row r="127" ht="15.75" customHeight="1">
      <c r="N127" s="27"/>
    </row>
    <row r="128" ht="15.75" customHeight="1">
      <c r="N128" s="27"/>
    </row>
    <row r="129" ht="15.75" customHeight="1">
      <c r="N129" s="27"/>
    </row>
    <row r="130" ht="15.75" customHeight="1">
      <c r="N130" s="27"/>
    </row>
    <row r="131" ht="15.75" customHeight="1">
      <c r="N131" s="27"/>
    </row>
    <row r="132" ht="15.75" customHeight="1">
      <c r="N132" s="27"/>
    </row>
    <row r="133" ht="15.75" customHeight="1">
      <c r="N133" s="27"/>
    </row>
    <row r="134" ht="15.75" customHeight="1">
      <c r="N134" s="27"/>
    </row>
    <row r="135" ht="15.75" customHeight="1">
      <c r="N135" s="27"/>
    </row>
    <row r="136" ht="15.75" customHeight="1">
      <c r="N136" s="27"/>
    </row>
    <row r="137" ht="15.75" customHeight="1">
      <c r="N137" s="27"/>
    </row>
    <row r="138" ht="15.75" customHeight="1">
      <c r="N138" s="27"/>
    </row>
    <row r="139" ht="15.75" customHeight="1">
      <c r="N139" s="27"/>
    </row>
    <row r="140" ht="15.75" customHeight="1">
      <c r="N140" s="27"/>
    </row>
    <row r="141" ht="15.75" customHeight="1">
      <c r="N141" s="27"/>
    </row>
    <row r="142" ht="15.75" customHeight="1">
      <c r="N142" s="27"/>
    </row>
    <row r="143" ht="15.75" customHeight="1">
      <c r="N143" s="27"/>
    </row>
    <row r="144" ht="15.75" customHeight="1">
      <c r="N144" s="27"/>
    </row>
    <row r="145" ht="15.75" customHeight="1">
      <c r="N145" s="27"/>
    </row>
    <row r="146" ht="15.75" customHeight="1">
      <c r="N146" s="27"/>
    </row>
    <row r="147" ht="15.75" customHeight="1">
      <c r="N147" s="27"/>
    </row>
    <row r="148" ht="15.75" customHeight="1">
      <c r="N148" s="27"/>
    </row>
    <row r="149" ht="15.75" customHeight="1">
      <c r="N149" s="27"/>
    </row>
    <row r="150" ht="15.75" customHeight="1">
      <c r="N150" s="27"/>
    </row>
    <row r="151" ht="15.75" customHeight="1">
      <c r="N151" s="27"/>
    </row>
    <row r="152" ht="15.75" customHeight="1">
      <c r="N152" s="27"/>
    </row>
    <row r="153" ht="15.75" customHeight="1">
      <c r="N153" s="27"/>
    </row>
    <row r="154" ht="15.75" customHeight="1">
      <c r="N154" s="27"/>
    </row>
    <row r="155" ht="15.75" customHeight="1">
      <c r="N155" s="27"/>
    </row>
    <row r="156" ht="15.75" customHeight="1">
      <c r="N156" s="27"/>
    </row>
    <row r="157" ht="15.75" customHeight="1">
      <c r="N157" s="27"/>
    </row>
    <row r="158" ht="15.75" customHeight="1">
      <c r="N158" s="27"/>
    </row>
    <row r="159" ht="15.75" customHeight="1">
      <c r="N159" s="27"/>
    </row>
    <row r="160" ht="15.75" customHeight="1">
      <c r="N160" s="27"/>
    </row>
    <row r="161" ht="15.75" customHeight="1">
      <c r="N161" s="27"/>
    </row>
    <row r="162" ht="15.75" customHeight="1">
      <c r="N162" s="27"/>
    </row>
    <row r="163" ht="15.75" customHeight="1">
      <c r="N163" s="27"/>
    </row>
    <row r="164" ht="15.75" customHeight="1">
      <c r="N164" s="27"/>
    </row>
    <row r="165" ht="15.75" customHeight="1">
      <c r="N165" s="27"/>
    </row>
    <row r="166" ht="15.75" customHeight="1">
      <c r="N166" s="27"/>
    </row>
    <row r="167" ht="15.75" customHeight="1">
      <c r="N167" s="27"/>
    </row>
    <row r="168" ht="15.75" customHeight="1">
      <c r="N168" s="27"/>
    </row>
    <row r="169" ht="15.75" customHeight="1">
      <c r="N169" s="27"/>
    </row>
    <row r="170" ht="15.75" customHeight="1">
      <c r="N170" s="27"/>
    </row>
    <row r="171" ht="15.75" customHeight="1">
      <c r="N171" s="27"/>
    </row>
    <row r="172" ht="15.75" customHeight="1">
      <c r="N172" s="27"/>
    </row>
    <row r="173" ht="15.75" customHeight="1">
      <c r="N173" s="27"/>
    </row>
    <row r="174" ht="15.75" customHeight="1">
      <c r="N174" s="27"/>
    </row>
    <row r="175" ht="15.75" customHeight="1">
      <c r="N175" s="27"/>
    </row>
    <row r="176" ht="15.75" customHeight="1">
      <c r="N176" s="27"/>
    </row>
    <row r="177" ht="15.75" customHeight="1">
      <c r="N177" s="27"/>
    </row>
    <row r="178" ht="15.75" customHeight="1">
      <c r="N178" s="27"/>
    </row>
    <row r="179" ht="15.75" customHeight="1">
      <c r="N179" s="27"/>
    </row>
    <row r="180" ht="15.75" customHeight="1">
      <c r="N180" s="27"/>
    </row>
    <row r="181" ht="15.75" customHeight="1">
      <c r="N181" s="27"/>
    </row>
    <row r="182" ht="15.75" customHeight="1">
      <c r="N182" s="27"/>
    </row>
    <row r="183" ht="15.75" customHeight="1">
      <c r="N183" s="27"/>
    </row>
    <row r="184" ht="15.75" customHeight="1">
      <c r="N184" s="27"/>
    </row>
    <row r="185" ht="15.75" customHeight="1">
      <c r="N185" s="27"/>
    </row>
    <row r="186" ht="15.75" customHeight="1">
      <c r="N186" s="27"/>
    </row>
    <row r="187" ht="15.75" customHeight="1">
      <c r="N187" s="27"/>
    </row>
    <row r="188" ht="15.75" customHeight="1">
      <c r="N188" s="27"/>
    </row>
    <row r="189" ht="15.75" customHeight="1">
      <c r="N189" s="27"/>
    </row>
    <row r="190" ht="15.75" customHeight="1">
      <c r="N190" s="27"/>
    </row>
    <row r="191" ht="15.75" customHeight="1">
      <c r="N191" s="27"/>
    </row>
    <row r="192" ht="15.75" customHeight="1">
      <c r="N192" s="27"/>
    </row>
    <row r="193" ht="15.75" customHeight="1">
      <c r="N193" s="27"/>
    </row>
    <row r="194" ht="15.75" customHeight="1">
      <c r="N194" s="27"/>
    </row>
    <row r="195" ht="15.75" customHeight="1">
      <c r="N195" s="27"/>
    </row>
    <row r="196" ht="15.75" customHeight="1">
      <c r="N196" s="27"/>
    </row>
    <row r="197" ht="15.75" customHeight="1">
      <c r="N197" s="27"/>
    </row>
    <row r="198" ht="15.75" customHeight="1">
      <c r="N198" s="27"/>
    </row>
    <row r="199" ht="15.75" customHeight="1">
      <c r="N199" s="27"/>
    </row>
    <row r="200" ht="15.75" customHeight="1">
      <c r="N200" s="27"/>
    </row>
    <row r="201" ht="15.75" customHeight="1">
      <c r="N201" s="27"/>
    </row>
    <row r="202" ht="15.75" customHeight="1">
      <c r="N202" s="27"/>
    </row>
    <row r="203" ht="15.75" customHeight="1">
      <c r="N203" s="27"/>
    </row>
    <row r="204" ht="15.75" customHeight="1">
      <c r="N204" s="27"/>
    </row>
    <row r="205" ht="15.75" customHeight="1">
      <c r="N205" s="27"/>
    </row>
    <row r="206" ht="15.75" customHeight="1">
      <c r="N206" s="27"/>
    </row>
    <row r="207" ht="15.75" customHeight="1">
      <c r="N207" s="27"/>
    </row>
    <row r="208" ht="15.75" customHeight="1">
      <c r="N208" s="27"/>
    </row>
    <row r="209" ht="15.75" customHeight="1">
      <c r="N209" s="27"/>
    </row>
    <row r="210" ht="15.75" customHeight="1">
      <c r="N210" s="27"/>
    </row>
    <row r="211" ht="15.75" customHeight="1">
      <c r="N211" s="27"/>
    </row>
    <row r="212" ht="15.75" customHeight="1">
      <c r="N212" s="27"/>
    </row>
    <row r="213" ht="15.75" customHeight="1">
      <c r="N213" s="27"/>
    </row>
    <row r="214" ht="15.75" customHeight="1">
      <c r="N214" s="27"/>
    </row>
    <row r="215" ht="15.75" customHeight="1">
      <c r="N215" s="27"/>
    </row>
    <row r="216" ht="15.75" customHeight="1">
      <c r="N216" s="27"/>
    </row>
    <row r="217" ht="15.75" customHeight="1">
      <c r="N217" s="27"/>
    </row>
    <row r="218" ht="15.75" customHeight="1">
      <c r="N218" s="27"/>
    </row>
    <row r="219" ht="15.75" customHeight="1">
      <c r="N219" s="27"/>
    </row>
    <row r="220" ht="15.75" customHeight="1">
      <c r="N220" s="27"/>
    </row>
    <row r="221" ht="15.75" customHeight="1">
      <c r="N221" s="27"/>
    </row>
    <row r="222" ht="15.75" customHeight="1">
      <c r="N222" s="27"/>
    </row>
    <row r="223" ht="15.75" customHeight="1">
      <c r="N223" s="27"/>
    </row>
    <row r="224" ht="15.75" customHeight="1">
      <c r="N224" s="27"/>
    </row>
    <row r="225" ht="15.75" customHeight="1">
      <c r="N225" s="27"/>
    </row>
    <row r="226" ht="15.75" customHeight="1">
      <c r="N226" s="27"/>
    </row>
    <row r="227" ht="15.75" customHeight="1">
      <c r="N227" s="27"/>
    </row>
    <row r="228" ht="15.75" customHeight="1">
      <c r="N228" s="27"/>
    </row>
    <row r="229" ht="15.75" customHeight="1">
      <c r="N229" s="27"/>
    </row>
    <row r="230" ht="15.75" customHeight="1">
      <c r="N230" s="27"/>
    </row>
    <row r="231" ht="15.75" customHeight="1">
      <c r="N231" s="27"/>
    </row>
    <row r="232" ht="15.75" customHeight="1">
      <c r="N232" s="27"/>
    </row>
    <row r="233" ht="15.75" customHeight="1">
      <c r="N233" s="27"/>
    </row>
    <row r="234" ht="15.75" customHeight="1">
      <c r="N234" s="27"/>
    </row>
    <row r="235" ht="15.75" customHeight="1">
      <c r="N235" s="27"/>
    </row>
    <row r="236" ht="15.75" customHeight="1">
      <c r="N236" s="27"/>
    </row>
    <row r="237" ht="15.75" customHeight="1">
      <c r="N237" s="27"/>
    </row>
    <row r="238" ht="15.75" customHeight="1">
      <c r="N238" s="27"/>
    </row>
    <row r="239" ht="15.75" customHeight="1">
      <c r="N239" s="27"/>
    </row>
    <row r="240" ht="15.75" customHeight="1">
      <c r="N240" s="27"/>
    </row>
    <row r="241" ht="15.75" customHeight="1">
      <c r="N241" s="27"/>
    </row>
    <row r="242" ht="15.75" customHeight="1">
      <c r="N242" s="27"/>
    </row>
    <row r="243" ht="15.75" customHeight="1">
      <c r="N243" s="27"/>
    </row>
    <row r="244" ht="15.75" customHeight="1">
      <c r="N244" s="27"/>
    </row>
    <row r="245" ht="15.75" customHeight="1">
      <c r="N245" s="27"/>
    </row>
    <row r="246" ht="15.75" customHeight="1">
      <c r="N246" s="27"/>
    </row>
    <row r="247" ht="15.75" customHeight="1">
      <c r="N247" s="27"/>
    </row>
    <row r="248" ht="15.75" customHeight="1">
      <c r="N248" s="27"/>
    </row>
    <row r="249" ht="15.75" customHeight="1">
      <c r="N249" s="27"/>
    </row>
    <row r="250" ht="15.75" customHeight="1">
      <c r="N250" s="27"/>
    </row>
    <row r="251" ht="15.75" customHeight="1">
      <c r="N251" s="27"/>
    </row>
    <row r="252" ht="15.75" customHeight="1">
      <c r="N252" s="27"/>
    </row>
    <row r="253" ht="15.75" customHeight="1">
      <c r="N253" s="27"/>
    </row>
    <row r="254" ht="15.75" customHeight="1">
      <c r="N254" s="27"/>
    </row>
    <row r="255" ht="15.75" customHeight="1">
      <c r="N255" s="27"/>
    </row>
    <row r="256" ht="15.75" customHeight="1">
      <c r="N256" s="27"/>
    </row>
    <row r="257" ht="15.75" customHeight="1">
      <c r="N257" s="27"/>
    </row>
    <row r="258" ht="15.75" customHeight="1">
      <c r="N258" s="27"/>
    </row>
    <row r="259" ht="15.75" customHeight="1">
      <c r="N259" s="27"/>
    </row>
    <row r="260" ht="15.75" customHeight="1">
      <c r="N260" s="27"/>
    </row>
    <row r="261" ht="15.75" customHeight="1">
      <c r="N261" s="27"/>
    </row>
    <row r="262" ht="15.75" customHeight="1">
      <c r="N262" s="27"/>
    </row>
    <row r="263" ht="15.75" customHeight="1">
      <c r="N263" s="27"/>
    </row>
    <row r="264" ht="15.75" customHeight="1">
      <c r="N264" s="27"/>
    </row>
    <row r="265" ht="15.75" customHeight="1">
      <c r="N265" s="27"/>
    </row>
    <row r="266" ht="15.75" customHeight="1">
      <c r="N266" s="27"/>
    </row>
    <row r="267" ht="15.75" customHeight="1">
      <c r="N267" s="27"/>
    </row>
    <row r="268" ht="15.75" customHeight="1">
      <c r="N268" s="27"/>
    </row>
    <row r="269" ht="15.75" customHeight="1">
      <c r="N269" s="27"/>
    </row>
    <row r="270" ht="15.75" customHeight="1">
      <c r="N270" s="27"/>
    </row>
    <row r="271" ht="15.75" customHeight="1">
      <c r="N271" s="27"/>
    </row>
    <row r="272" ht="15.75" customHeight="1">
      <c r="N272" s="27"/>
    </row>
    <row r="273" ht="15.75" customHeight="1">
      <c r="N273" s="27"/>
    </row>
    <row r="274" ht="15.75" customHeight="1">
      <c r="N274" s="27"/>
    </row>
    <row r="275" ht="15.75" customHeight="1">
      <c r="N275" s="27"/>
    </row>
    <row r="276" ht="15.75" customHeight="1">
      <c r="N276" s="27"/>
    </row>
    <row r="277" ht="15.75" customHeight="1">
      <c r="N277" s="27"/>
    </row>
    <row r="278" ht="15.75" customHeight="1">
      <c r="N278" s="27"/>
    </row>
    <row r="279" ht="15.75" customHeight="1">
      <c r="N279" s="27"/>
    </row>
    <row r="280" ht="15.75" customHeight="1">
      <c r="N280" s="27"/>
    </row>
    <row r="281" ht="15.75" customHeight="1">
      <c r="N281" s="27"/>
    </row>
    <row r="282" ht="15.75" customHeight="1">
      <c r="N282" s="27"/>
    </row>
    <row r="283" ht="15.75" customHeight="1">
      <c r="N283" s="27"/>
    </row>
    <row r="284" ht="15.75" customHeight="1">
      <c r="N284" s="27"/>
    </row>
    <row r="285" ht="15.75" customHeight="1">
      <c r="N285" s="27"/>
    </row>
    <row r="286" ht="15.75" customHeight="1">
      <c r="N286" s="27"/>
    </row>
    <row r="287" ht="15.75" customHeight="1">
      <c r="N287" s="27"/>
    </row>
    <row r="288" ht="15.75" customHeight="1">
      <c r="N288" s="27"/>
    </row>
    <row r="289" ht="15.75" customHeight="1">
      <c r="N289" s="27"/>
    </row>
    <row r="290" ht="15.75" customHeight="1">
      <c r="N290" s="27"/>
    </row>
    <row r="291" ht="15.75" customHeight="1">
      <c r="N291" s="27"/>
    </row>
    <row r="292" ht="15.75" customHeight="1">
      <c r="N292" s="27"/>
    </row>
    <row r="293" ht="15.75" customHeight="1">
      <c r="N293" s="27"/>
    </row>
    <row r="294" ht="15.75" customHeight="1">
      <c r="N294" s="27"/>
    </row>
    <row r="295" ht="15.75" customHeight="1">
      <c r="N295" s="27"/>
    </row>
    <row r="296" ht="15.75" customHeight="1">
      <c r="N296" s="27"/>
    </row>
    <row r="297" ht="15.75" customHeight="1">
      <c r="N297" s="27"/>
    </row>
    <row r="298" ht="15.75" customHeight="1">
      <c r="N298" s="27"/>
    </row>
    <row r="299" ht="15.75" customHeight="1">
      <c r="N299" s="27"/>
    </row>
    <row r="300" ht="15.75" customHeight="1">
      <c r="N300" s="27"/>
    </row>
    <row r="301" ht="15.75" customHeight="1">
      <c r="N301" s="27"/>
    </row>
    <row r="302" ht="15.75" customHeight="1">
      <c r="N302" s="27"/>
    </row>
    <row r="303" ht="15.75" customHeight="1">
      <c r="N303" s="27"/>
    </row>
    <row r="304" ht="15.75" customHeight="1">
      <c r="N304" s="27"/>
    </row>
    <row r="305" ht="15.75" customHeight="1">
      <c r="N305" s="27"/>
    </row>
    <row r="306" ht="15.75" customHeight="1">
      <c r="N306" s="27"/>
    </row>
    <row r="307" ht="15.75" customHeight="1">
      <c r="N307" s="27"/>
    </row>
    <row r="308" ht="15.75" customHeight="1">
      <c r="N308" s="27"/>
    </row>
    <row r="309" ht="15.75" customHeight="1">
      <c r="N309" s="27"/>
    </row>
    <row r="310" ht="15.75" customHeight="1">
      <c r="N310" s="27"/>
    </row>
    <row r="311" ht="15.75" customHeight="1">
      <c r="N311" s="27"/>
    </row>
    <row r="312" ht="15.75" customHeight="1">
      <c r="N312" s="27"/>
    </row>
    <row r="313" ht="15.75" customHeight="1">
      <c r="N313" s="27"/>
    </row>
    <row r="314" ht="15.75" customHeight="1">
      <c r="N314" s="27"/>
    </row>
    <row r="315" ht="15.75" customHeight="1">
      <c r="N315" s="27"/>
    </row>
    <row r="316" ht="15.75" customHeight="1">
      <c r="N316" s="27"/>
    </row>
    <row r="317" ht="15.75" customHeight="1">
      <c r="N317" s="27"/>
    </row>
    <row r="318" ht="15.75" customHeight="1">
      <c r="N318" s="27"/>
    </row>
    <row r="319" ht="15.75" customHeight="1">
      <c r="N319" s="27"/>
    </row>
    <row r="320" ht="15.75" customHeight="1">
      <c r="N320" s="27"/>
    </row>
    <row r="321" ht="15.75" customHeight="1">
      <c r="N321" s="27"/>
    </row>
    <row r="322" ht="15.75" customHeight="1">
      <c r="N322" s="27"/>
    </row>
    <row r="323" ht="15.75" customHeight="1">
      <c r="N323" s="27"/>
    </row>
    <row r="324" ht="15.75" customHeight="1">
      <c r="N324" s="27"/>
    </row>
    <row r="325" ht="15.75" customHeight="1">
      <c r="N325" s="27"/>
    </row>
    <row r="326" ht="15.75" customHeight="1">
      <c r="N326" s="27"/>
    </row>
    <row r="327" ht="15.75" customHeight="1">
      <c r="N327" s="27"/>
    </row>
    <row r="328" ht="15.75" customHeight="1">
      <c r="N328" s="27"/>
    </row>
    <row r="329" ht="15.75" customHeight="1">
      <c r="N329" s="27"/>
    </row>
    <row r="330" ht="15.75" customHeight="1">
      <c r="N330" s="27"/>
    </row>
    <row r="331" ht="15.75" customHeight="1">
      <c r="N331" s="27"/>
    </row>
    <row r="332" ht="15.75" customHeight="1">
      <c r="N332" s="27"/>
    </row>
    <row r="333" ht="15.75" customHeight="1">
      <c r="N333" s="27"/>
    </row>
    <row r="334" ht="15.75" customHeight="1">
      <c r="N334" s="27"/>
    </row>
    <row r="335" ht="15.75" customHeight="1">
      <c r="N335" s="27"/>
    </row>
    <row r="336" ht="15.75" customHeight="1">
      <c r="N336" s="27"/>
    </row>
    <row r="337" ht="15.75" customHeight="1">
      <c r="N337" s="27"/>
    </row>
    <row r="338" ht="15.75" customHeight="1">
      <c r="N338" s="27"/>
    </row>
    <row r="339" ht="15.75" customHeight="1">
      <c r="N339" s="27"/>
    </row>
    <row r="340" ht="15.75" customHeight="1">
      <c r="N340" s="27"/>
    </row>
    <row r="341" ht="15.75" customHeight="1">
      <c r="N341" s="27"/>
    </row>
    <row r="342" ht="15.75" customHeight="1">
      <c r="N342" s="27"/>
    </row>
    <row r="343" ht="15.75" customHeight="1">
      <c r="N343" s="27"/>
    </row>
    <row r="344" ht="15.75" customHeight="1">
      <c r="N344" s="27"/>
    </row>
    <row r="345" ht="15.75" customHeight="1">
      <c r="N345" s="27"/>
    </row>
    <row r="346" ht="15.75" customHeight="1">
      <c r="N346" s="27"/>
    </row>
    <row r="347" ht="15.75" customHeight="1">
      <c r="N347" s="27"/>
    </row>
    <row r="348" ht="15.75" customHeight="1">
      <c r="N348" s="27"/>
    </row>
    <row r="349" ht="15.75" customHeight="1">
      <c r="N349" s="27"/>
    </row>
    <row r="350" ht="15.75" customHeight="1">
      <c r="N350" s="27"/>
    </row>
    <row r="351" ht="15.75" customHeight="1">
      <c r="N351" s="27"/>
    </row>
    <row r="352" ht="15.75" customHeight="1">
      <c r="N352" s="27"/>
    </row>
    <row r="353" ht="15.75" customHeight="1">
      <c r="N353" s="27"/>
    </row>
    <row r="354" ht="15.75" customHeight="1">
      <c r="N354" s="27"/>
    </row>
    <row r="355" ht="15.75" customHeight="1">
      <c r="N355" s="27"/>
    </row>
    <row r="356" ht="15.75" customHeight="1">
      <c r="N356" s="27"/>
    </row>
    <row r="357" ht="15.75" customHeight="1">
      <c r="N357" s="27"/>
    </row>
    <row r="358" ht="15.75" customHeight="1">
      <c r="N358" s="27"/>
    </row>
    <row r="359" ht="15.75" customHeight="1">
      <c r="N359" s="27"/>
    </row>
    <row r="360" ht="15.75" customHeight="1">
      <c r="N360" s="27"/>
    </row>
    <row r="361" ht="15.75" customHeight="1">
      <c r="N361" s="27"/>
    </row>
    <row r="362" ht="15.75" customHeight="1">
      <c r="N362" s="27"/>
    </row>
    <row r="363" ht="15.75" customHeight="1">
      <c r="N363" s="27"/>
    </row>
    <row r="364" ht="15.75" customHeight="1">
      <c r="N364" s="27"/>
    </row>
    <row r="365" ht="15.75" customHeight="1">
      <c r="N365" s="27"/>
    </row>
    <row r="366" ht="15.75" customHeight="1">
      <c r="N366" s="27"/>
    </row>
    <row r="367" ht="15.75" customHeight="1">
      <c r="N367" s="27"/>
    </row>
    <row r="368" ht="15.75" customHeight="1">
      <c r="N368" s="27"/>
    </row>
    <row r="369" ht="15.75" customHeight="1">
      <c r="N369" s="27"/>
    </row>
    <row r="370" ht="15.75" customHeight="1">
      <c r="N370" s="27"/>
    </row>
    <row r="371" ht="15.75" customHeight="1">
      <c r="N371" s="27"/>
    </row>
    <row r="372" ht="15.75" customHeight="1">
      <c r="N372" s="27"/>
    </row>
    <row r="373" ht="15.75" customHeight="1">
      <c r="N373" s="27"/>
    </row>
    <row r="374" ht="15.75" customHeight="1">
      <c r="N374" s="27"/>
    </row>
    <row r="375" ht="15.75" customHeight="1">
      <c r="N375" s="27"/>
    </row>
    <row r="376" ht="15.75" customHeight="1">
      <c r="N376" s="27"/>
    </row>
    <row r="377" ht="15.75" customHeight="1">
      <c r="N377" s="27"/>
    </row>
    <row r="378" ht="15.75" customHeight="1">
      <c r="N378" s="27"/>
    </row>
    <row r="379" ht="15.75" customHeight="1">
      <c r="N379" s="27"/>
    </row>
    <row r="380" ht="15.75" customHeight="1">
      <c r="N380" s="27"/>
    </row>
    <row r="381" ht="15.75" customHeight="1">
      <c r="N381" s="27"/>
    </row>
    <row r="382" ht="15.75" customHeight="1">
      <c r="N382" s="27"/>
    </row>
    <row r="383" ht="15.75" customHeight="1">
      <c r="N383" s="27"/>
    </row>
    <row r="384" ht="15.75" customHeight="1">
      <c r="N384" s="27"/>
    </row>
    <row r="385" ht="15.75" customHeight="1">
      <c r="N385" s="27"/>
    </row>
    <row r="386" ht="15.75" customHeight="1">
      <c r="N386" s="27"/>
    </row>
    <row r="387" ht="15.75" customHeight="1">
      <c r="N387" s="27"/>
    </row>
    <row r="388" ht="15.75" customHeight="1">
      <c r="N388" s="27"/>
    </row>
    <row r="389" ht="15.75" customHeight="1">
      <c r="N389" s="27"/>
    </row>
    <row r="390" ht="15.75" customHeight="1">
      <c r="N390" s="27"/>
    </row>
    <row r="391" ht="15.75" customHeight="1">
      <c r="N391" s="27"/>
    </row>
    <row r="392" ht="15.75" customHeight="1">
      <c r="N392" s="27"/>
    </row>
    <row r="393" ht="15.75" customHeight="1">
      <c r="N393" s="27"/>
    </row>
    <row r="394" ht="15.75" customHeight="1">
      <c r="N394" s="27"/>
    </row>
    <row r="395" ht="15.75" customHeight="1">
      <c r="N395" s="27"/>
    </row>
    <row r="396" ht="15.75" customHeight="1">
      <c r="N396" s="27"/>
    </row>
    <row r="397" ht="15.75" customHeight="1">
      <c r="N397" s="27"/>
    </row>
    <row r="398" ht="15.75" customHeight="1">
      <c r="N398" s="27"/>
    </row>
    <row r="399" ht="15.75" customHeight="1">
      <c r="N399" s="27"/>
    </row>
    <row r="400" ht="15.75" customHeight="1">
      <c r="N400" s="27"/>
    </row>
    <row r="401" ht="15.75" customHeight="1">
      <c r="N401" s="27"/>
    </row>
    <row r="402" ht="15.75" customHeight="1">
      <c r="N402" s="27"/>
    </row>
    <row r="403" ht="15.75" customHeight="1">
      <c r="N403" s="27"/>
    </row>
    <row r="404" ht="15.75" customHeight="1">
      <c r="N404" s="27"/>
    </row>
    <row r="405" ht="15.75" customHeight="1">
      <c r="N405" s="27"/>
    </row>
    <row r="406" ht="15.75" customHeight="1">
      <c r="N406" s="27"/>
    </row>
    <row r="407" ht="15.75" customHeight="1">
      <c r="N407" s="27"/>
    </row>
    <row r="408" ht="15.75" customHeight="1">
      <c r="N408" s="27"/>
    </row>
    <row r="409" ht="15.75" customHeight="1">
      <c r="N409" s="27"/>
    </row>
    <row r="410" ht="15.75" customHeight="1">
      <c r="N410" s="27"/>
    </row>
    <row r="411" ht="15.75" customHeight="1">
      <c r="N411" s="27"/>
    </row>
    <row r="412" ht="15.75" customHeight="1">
      <c r="N412" s="27"/>
    </row>
    <row r="413" ht="15.75" customHeight="1">
      <c r="N413" s="27"/>
    </row>
    <row r="414" ht="15.75" customHeight="1">
      <c r="N414" s="27"/>
    </row>
    <row r="415" ht="15.75" customHeight="1">
      <c r="N415" s="27"/>
    </row>
    <row r="416" ht="15.75" customHeight="1">
      <c r="N416" s="27"/>
    </row>
    <row r="417" ht="15.75" customHeight="1">
      <c r="N417" s="27"/>
    </row>
    <row r="418" ht="15.75" customHeight="1">
      <c r="N418" s="27"/>
    </row>
    <row r="419" ht="15.75" customHeight="1">
      <c r="N419" s="27"/>
    </row>
    <row r="420" ht="15.75" customHeight="1">
      <c r="N420" s="27"/>
    </row>
    <row r="421" ht="15.75" customHeight="1">
      <c r="N421" s="27"/>
    </row>
    <row r="422" ht="15.75" customHeight="1">
      <c r="N422" s="27"/>
    </row>
    <row r="423" ht="15.75" customHeight="1">
      <c r="N423" s="27"/>
    </row>
    <row r="424" ht="15.75" customHeight="1">
      <c r="N424" s="27"/>
    </row>
    <row r="425" ht="15.75" customHeight="1">
      <c r="N425" s="27"/>
    </row>
    <row r="426" ht="15.75" customHeight="1">
      <c r="N426" s="27"/>
    </row>
    <row r="427" ht="15.75" customHeight="1">
      <c r="N427" s="27"/>
    </row>
    <row r="428" ht="15.75" customHeight="1">
      <c r="N428" s="27"/>
    </row>
    <row r="429" ht="15.75" customHeight="1">
      <c r="N429" s="27"/>
    </row>
    <row r="430" ht="15.75" customHeight="1">
      <c r="N430" s="27"/>
    </row>
    <row r="431" ht="15.75" customHeight="1">
      <c r="N431" s="27"/>
    </row>
    <row r="432" ht="15.75" customHeight="1">
      <c r="N432" s="27"/>
    </row>
    <row r="433" ht="15.75" customHeight="1">
      <c r="N433" s="27"/>
    </row>
    <row r="434" ht="15.75" customHeight="1">
      <c r="N434" s="27"/>
    </row>
    <row r="435" ht="15.75" customHeight="1">
      <c r="N435" s="27"/>
    </row>
    <row r="436" ht="15.75" customHeight="1">
      <c r="N436" s="27"/>
    </row>
    <row r="437" ht="15.75" customHeight="1">
      <c r="N437" s="27"/>
    </row>
    <row r="438" ht="15.75" customHeight="1">
      <c r="N438" s="27"/>
    </row>
    <row r="439" ht="15.75" customHeight="1">
      <c r="N439" s="27"/>
    </row>
    <row r="440" ht="15.75" customHeight="1">
      <c r="N440" s="27"/>
    </row>
    <row r="441" ht="15.75" customHeight="1">
      <c r="N441" s="27"/>
    </row>
    <row r="442" ht="15.75" customHeight="1">
      <c r="N442" s="27"/>
    </row>
    <row r="443" ht="15.75" customHeight="1">
      <c r="N443" s="27"/>
    </row>
    <row r="444" ht="15.75" customHeight="1">
      <c r="N444" s="27"/>
    </row>
    <row r="445" ht="15.75" customHeight="1">
      <c r="N445" s="27"/>
    </row>
    <row r="446" ht="15.75" customHeight="1">
      <c r="N446" s="27"/>
    </row>
    <row r="447" ht="15.75" customHeight="1">
      <c r="N447" s="27"/>
    </row>
    <row r="448" ht="15.75" customHeight="1">
      <c r="N448" s="27"/>
    </row>
    <row r="449" ht="15.75" customHeight="1">
      <c r="N449" s="27"/>
    </row>
    <row r="450" ht="15.75" customHeight="1">
      <c r="N450" s="27"/>
    </row>
    <row r="451" ht="15.75" customHeight="1">
      <c r="N451" s="27"/>
    </row>
    <row r="452" ht="15.75" customHeight="1">
      <c r="N452" s="27"/>
    </row>
    <row r="453" ht="15.75" customHeight="1">
      <c r="N453" s="27"/>
    </row>
    <row r="454" ht="15.75" customHeight="1">
      <c r="N454" s="27"/>
    </row>
    <row r="455" ht="15.75" customHeight="1">
      <c r="N455" s="27"/>
    </row>
    <row r="456" ht="15.75" customHeight="1">
      <c r="N456" s="27"/>
    </row>
    <row r="457" ht="15.75" customHeight="1">
      <c r="N457" s="27"/>
    </row>
    <row r="458" ht="15.75" customHeight="1">
      <c r="N458" s="27"/>
    </row>
    <row r="459" ht="15.75" customHeight="1">
      <c r="N459" s="27"/>
    </row>
    <row r="460" ht="15.75" customHeight="1">
      <c r="N460" s="27"/>
    </row>
    <row r="461" ht="15.75" customHeight="1">
      <c r="N461" s="27"/>
    </row>
    <row r="462" ht="15.75" customHeight="1">
      <c r="N462" s="27"/>
    </row>
    <row r="463" ht="15.75" customHeight="1">
      <c r="N463" s="27"/>
    </row>
    <row r="464" ht="15.75" customHeight="1">
      <c r="N464" s="27"/>
    </row>
    <row r="465" ht="15.75" customHeight="1">
      <c r="N465" s="27"/>
    </row>
    <row r="466" ht="15.75" customHeight="1">
      <c r="N466" s="27"/>
    </row>
    <row r="467" ht="15.75" customHeight="1">
      <c r="N467" s="27"/>
    </row>
    <row r="468" ht="15.75" customHeight="1">
      <c r="N468" s="27"/>
    </row>
    <row r="469" ht="15.75" customHeight="1">
      <c r="N469" s="27"/>
    </row>
    <row r="470" ht="15.75" customHeight="1">
      <c r="N470" s="27"/>
    </row>
    <row r="471" ht="15.75" customHeight="1">
      <c r="N471" s="27"/>
    </row>
    <row r="472" ht="15.75" customHeight="1">
      <c r="N472" s="27"/>
    </row>
    <row r="473" ht="15.75" customHeight="1">
      <c r="N473" s="27"/>
    </row>
    <row r="474" ht="15.75" customHeight="1">
      <c r="N474" s="27"/>
    </row>
    <row r="475" ht="15.75" customHeight="1">
      <c r="N475" s="27"/>
    </row>
    <row r="476" ht="15.75" customHeight="1">
      <c r="N476" s="27"/>
    </row>
    <row r="477" ht="15.75" customHeight="1">
      <c r="N477" s="27"/>
    </row>
    <row r="478" ht="15.75" customHeight="1">
      <c r="N478" s="27"/>
    </row>
    <row r="479" ht="15.75" customHeight="1">
      <c r="N479" s="27"/>
    </row>
    <row r="480" ht="15.75" customHeight="1">
      <c r="N480" s="27"/>
    </row>
    <row r="481" ht="15.75" customHeight="1">
      <c r="N481" s="27"/>
    </row>
    <row r="482" ht="15.75" customHeight="1">
      <c r="N482" s="27"/>
    </row>
    <row r="483" ht="15.75" customHeight="1">
      <c r="N483" s="27"/>
    </row>
    <row r="484" ht="15.75" customHeight="1">
      <c r="N484" s="27"/>
    </row>
    <row r="485" ht="15.75" customHeight="1">
      <c r="N485" s="27"/>
    </row>
    <row r="486" ht="15.75" customHeight="1">
      <c r="N486" s="27"/>
    </row>
    <row r="487" ht="15.75" customHeight="1">
      <c r="N487" s="27"/>
    </row>
    <row r="488" ht="15.75" customHeight="1">
      <c r="N488" s="27"/>
    </row>
    <row r="489" ht="15.75" customHeight="1">
      <c r="N489" s="27"/>
    </row>
    <row r="490" ht="15.75" customHeight="1">
      <c r="N490" s="27"/>
    </row>
    <row r="491" ht="15.75" customHeight="1">
      <c r="N491" s="27"/>
    </row>
    <row r="492" ht="15.75" customHeight="1">
      <c r="N492" s="27"/>
    </row>
    <row r="493" ht="15.75" customHeight="1">
      <c r="N493" s="27"/>
    </row>
    <row r="494" ht="15.75" customHeight="1">
      <c r="N494" s="27"/>
    </row>
    <row r="495" ht="15.75" customHeight="1">
      <c r="N495" s="27"/>
    </row>
    <row r="496" ht="15.75" customHeight="1">
      <c r="N496" s="27"/>
    </row>
    <row r="497" ht="15.75" customHeight="1">
      <c r="N497" s="27"/>
    </row>
    <row r="498" ht="15.75" customHeight="1">
      <c r="N498" s="27"/>
    </row>
    <row r="499" ht="15.75" customHeight="1">
      <c r="N499" s="27"/>
    </row>
    <row r="500" ht="15.75" customHeight="1">
      <c r="N500" s="27"/>
    </row>
    <row r="501" ht="15.75" customHeight="1">
      <c r="N501" s="27"/>
    </row>
    <row r="502" ht="15.75" customHeight="1">
      <c r="N502" s="27"/>
    </row>
    <row r="503" ht="15.75" customHeight="1">
      <c r="N503" s="27"/>
    </row>
    <row r="504" ht="15.75" customHeight="1">
      <c r="N504" s="27"/>
    </row>
    <row r="505" ht="15.75" customHeight="1">
      <c r="N505" s="27"/>
    </row>
    <row r="506" ht="15.75" customHeight="1">
      <c r="N506" s="27"/>
    </row>
    <row r="507" ht="15.75" customHeight="1">
      <c r="N507" s="27"/>
    </row>
    <row r="508" ht="15.75" customHeight="1">
      <c r="N508" s="27"/>
    </row>
    <row r="509" ht="15.75" customHeight="1">
      <c r="N509" s="27"/>
    </row>
    <row r="510" ht="15.75" customHeight="1">
      <c r="N510" s="27"/>
    </row>
    <row r="511" ht="15.75" customHeight="1">
      <c r="N511" s="27"/>
    </row>
    <row r="512" ht="15.75" customHeight="1">
      <c r="N512" s="27"/>
    </row>
    <row r="513" ht="15.75" customHeight="1">
      <c r="N513" s="27"/>
    </row>
    <row r="514" ht="15.75" customHeight="1">
      <c r="N514" s="27"/>
    </row>
    <row r="515" ht="15.75" customHeight="1">
      <c r="N515" s="27"/>
    </row>
    <row r="516" ht="15.75" customHeight="1">
      <c r="N516" s="27"/>
    </row>
    <row r="517" ht="15.75" customHeight="1">
      <c r="N517" s="27"/>
    </row>
    <row r="518" ht="15.75" customHeight="1">
      <c r="N518" s="27"/>
    </row>
    <row r="519" ht="15.75" customHeight="1">
      <c r="N519" s="27"/>
    </row>
    <row r="520" ht="15.75" customHeight="1">
      <c r="N520" s="27"/>
    </row>
    <row r="521" ht="15.75" customHeight="1">
      <c r="N521" s="27"/>
    </row>
    <row r="522" ht="15.75" customHeight="1">
      <c r="N522" s="27"/>
    </row>
    <row r="523" ht="15.75" customHeight="1">
      <c r="N523" s="27"/>
    </row>
    <row r="524" ht="15.75" customHeight="1">
      <c r="N524" s="27"/>
    </row>
    <row r="525" ht="15.75" customHeight="1">
      <c r="N525" s="27"/>
    </row>
    <row r="526" ht="15.75" customHeight="1">
      <c r="N526" s="27"/>
    </row>
    <row r="527" ht="15.75" customHeight="1">
      <c r="N527" s="27"/>
    </row>
    <row r="528" ht="15.75" customHeight="1">
      <c r="N528" s="27"/>
    </row>
    <row r="529" ht="15.75" customHeight="1">
      <c r="N529" s="27"/>
    </row>
    <row r="530" ht="15.75" customHeight="1">
      <c r="N530" s="27"/>
    </row>
    <row r="531" ht="15.75" customHeight="1">
      <c r="N531" s="27"/>
    </row>
    <row r="532" ht="15.75" customHeight="1">
      <c r="N532" s="27"/>
    </row>
    <row r="533" ht="15.75" customHeight="1">
      <c r="N533" s="27"/>
    </row>
    <row r="534" ht="15.75" customHeight="1">
      <c r="N534" s="27"/>
    </row>
    <row r="535" ht="15.75" customHeight="1">
      <c r="N535" s="27"/>
    </row>
    <row r="536" ht="15.75" customHeight="1">
      <c r="N536" s="27"/>
    </row>
    <row r="537" ht="15.75" customHeight="1">
      <c r="N537" s="27"/>
    </row>
    <row r="538" ht="15.75" customHeight="1">
      <c r="N538" s="27"/>
    </row>
    <row r="539" ht="15.75" customHeight="1">
      <c r="N539" s="27"/>
    </row>
    <row r="540" ht="15.75" customHeight="1">
      <c r="N540" s="27"/>
    </row>
    <row r="541" ht="15.75" customHeight="1">
      <c r="N541" s="27"/>
    </row>
    <row r="542" ht="15.75" customHeight="1">
      <c r="N542" s="27"/>
    </row>
    <row r="543" ht="15.75" customHeight="1">
      <c r="N543" s="27"/>
    </row>
    <row r="544" ht="15.75" customHeight="1">
      <c r="N544" s="27"/>
    </row>
    <row r="545" ht="15.75" customHeight="1">
      <c r="N545" s="27"/>
    </row>
    <row r="546" ht="15.75" customHeight="1">
      <c r="N546" s="27"/>
    </row>
    <row r="547" ht="15.75" customHeight="1">
      <c r="N547" s="27"/>
    </row>
    <row r="548" ht="15.75" customHeight="1">
      <c r="N548" s="27"/>
    </row>
    <row r="549" ht="15.75" customHeight="1">
      <c r="N549" s="27"/>
    </row>
    <row r="550" ht="15.75" customHeight="1">
      <c r="N550" s="27"/>
    </row>
    <row r="551" ht="15.75" customHeight="1">
      <c r="N551" s="27"/>
    </row>
    <row r="552" ht="15.75" customHeight="1">
      <c r="N552" s="27"/>
    </row>
    <row r="553" ht="15.75" customHeight="1">
      <c r="N553" s="27"/>
    </row>
    <row r="554" ht="15.75" customHeight="1">
      <c r="N554" s="27"/>
    </row>
    <row r="555" ht="15.75" customHeight="1">
      <c r="N555" s="27"/>
    </row>
    <row r="556" ht="15.75" customHeight="1">
      <c r="N556" s="27"/>
    </row>
    <row r="557" ht="15.75" customHeight="1">
      <c r="N557" s="27"/>
    </row>
    <row r="558" ht="15.75" customHeight="1">
      <c r="N558" s="27"/>
    </row>
    <row r="559" ht="15.75" customHeight="1">
      <c r="N559" s="27"/>
    </row>
    <row r="560" ht="15.75" customHeight="1">
      <c r="N560" s="27"/>
    </row>
    <row r="561" ht="15.75" customHeight="1">
      <c r="N561" s="27"/>
    </row>
    <row r="562" ht="15.75" customHeight="1">
      <c r="N562" s="27"/>
    </row>
    <row r="563" ht="15.75" customHeight="1">
      <c r="N563" s="27"/>
    </row>
    <row r="564" ht="15.75" customHeight="1">
      <c r="N564" s="27"/>
    </row>
    <row r="565" ht="15.75" customHeight="1">
      <c r="N565" s="27"/>
    </row>
    <row r="566" ht="15.75" customHeight="1">
      <c r="N566" s="27"/>
    </row>
    <row r="567" ht="15.75" customHeight="1">
      <c r="N567" s="27"/>
    </row>
    <row r="568" ht="15.75" customHeight="1">
      <c r="N568" s="27"/>
    </row>
    <row r="569" ht="15.75" customHeight="1">
      <c r="N569" s="27"/>
    </row>
    <row r="570" ht="15.75" customHeight="1">
      <c r="N570" s="27"/>
    </row>
    <row r="571" ht="15.75" customHeight="1">
      <c r="N571" s="27"/>
    </row>
    <row r="572" ht="15.75" customHeight="1">
      <c r="N572" s="27"/>
    </row>
    <row r="573" ht="15.75" customHeight="1">
      <c r="N573" s="27"/>
    </row>
    <row r="574" ht="15.75" customHeight="1">
      <c r="N574" s="27"/>
    </row>
    <row r="575" ht="15.75" customHeight="1">
      <c r="N575" s="27"/>
    </row>
    <row r="576" ht="15.75" customHeight="1">
      <c r="N576" s="27"/>
    </row>
    <row r="577" ht="15.75" customHeight="1">
      <c r="N577" s="27"/>
    </row>
    <row r="578" ht="15.75" customHeight="1">
      <c r="N578" s="27"/>
    </row>
    <row r="579" ht="15.75" customHeight="1">
      <c r="N579" s="27"/>
    </row>
    <row r="580" ht="15.75" customHeight="1">
      <c r="N580" s="27"/>
    </row>
    <row r="581" ht="15.75" customHeight="1">
      <c r="N581" s="27"/>
    </row>
    <row r="582" ht="15.75" customHeight="1">
      <c r="N582" s="27"/>
    </row>
    <row r="583" ht="15.75" customHeight="1">
      <c r="N583" s="27"/>
    </row>
    <row r="584" ht="15.75" customHeight="1">
      <c r="N584" s="27"/>
    </row>
    <row r="585" ht="15.75" customHeight="1">
      <c r="N585" s="27"/>
    </row>
    <row r="586" ht="15.75" customHeight="1">
      <c r="N586" s="27"/>
    </row>
    <row r="587" ht="15.75" customHeight="1">
      <c r="N587" s="27"/>
    </row>
    <row r="588" ht="15.75" customHeight="1">
      <c r="N588" s="27"/>
    </row>
    <row r="589" ht="15.75" customHeight="1">
      <c r="N589" s="27"/>
    </row>
    <row r="590" ht="15.75" customHeight="1">
      <c r="N590" s="27"/>
    </row>
    <row r="591" ht="15.75" customHeight="1">
      <c r="N591" s="27"/>
    </row>
    <row r="592" ht="15.75" customHeight="1">
      <c r="N592" s="27"/>
    </row>
    <row r="593" ht="15.75" customHeight="1">
      <c r="N593" s="27"/>
    </row>
    <row r="594" ht="15.75" customHeight="1">
      <c r="N594" s="27"/>
    </row>
    <row r="595" ht="15.75" customHeight="1">
      <c r="N595" s="27"/>
    </row>
    <row r="596" ht="15.75" customHeight="1">
      <c r="N596" s="27"/>
    </row>
    <row r="597" ht="15.75" customHeight="1">
      <c r="N597" s="27"/>
    </row>
    <row r="598" ht="15.75" customHeight="1">
      <c r="N598" s="27"/>
    </row>
    <row r="599" ht="15.75" customHeight="1">
      <c r="N599" s="27"/>
    </row>
    <row r="600" ht="15.75" customHeight="1">
      <c r="N600" s="27"/>
    </row>
    <row r="601" ht="15.75" customHeight="1">
      <c r="N601" s="27"/>
    </row>
    <row r="602" ht="15.75" customHeight="1">
      <c r="N602" s="27"/>
    </row>
    <row r="603" ht="15.75" customHeight="1">
      <c r="N603" s="27"/>
    </row>
    <row r="604" ht="15.75" customHeight="1">
      <c r="N604" s="27"/>
    </row>
    <row r="605" ht="15.75" customHeight="1">
      <c r="N605" s="27"/>
    </row>
    <row r="606" ht="15.75" customHeight="1">
      <c r="N606" s="27"/>
    </row>
    <row r="607" ht="15.75" customHeight="1">
      <c r="N607" s="27"/>
    </row>
    <row r="608" ht="15.75" customHeight="1">
      <c r="N608" s="27"/>
    </row>
    <row r="609" ht="15.75" customHeight="1">
      <c r="N609" s="27"/>
    </row>
    <row r="610" ht="15.75" customHeight="1">
      <c r="N610" s="27"/>
    </row>
    <row r="611" ht="15.75" customHeight="1">
      <c r="N611" s="27"/>
    </row>
    <row r="612" ht="15.75" customHeight="1">
      <c r="N612" s="27"/>
    </row>
    <row r="613" ht="15.75" customHeight="1">
      <c r="N613" s="27"/>
    </row>
    <row r="614" ht="15.75" customHeight="1">
      <c r="N614" s="27"/>
    </row>
    <row r="615" ht="15.75" customHeight="1">
      <c r="N615" s="27"/>
    </row>
    <row r="616" ht="15.75" customHeight="1">
      <c r="N616" s="27"/>
    </row>
    <row r="617" ht="15.75" customHeight="1">
      <c r="N617" s="27"/>
    </row>
    <row r="618" ht="15.75" customHeight="1">
      <c r="N618" s="27"/>
    </row>
    <row r="619" ht="15.75" customHeight="1">
      <c r="N619" s="27"/>
    </row>
    <row r="620" ht="15.75" customHeight="1">
      <c r="N620" s="27"/>
    </row>
    <row r="621" ht="15.75" customHeight="1">
      <c r="N621" s="27"/>
    </row>
    <row r="622" ht="15.75" customHeight="1">
      <c r="N622" s="27"/>
    </row>
    <row r="623" ht="15.75" customHeight="1">
      <c r="N623" s="27"/>
    </row>
    <row r="624" ht="15.75" customHeight="1">
      <c r="N624" s="27"/>
    </row>
    <row r="625" ht="15.75" customHeight="1">
      <c r="N625" s="27"/>
    </row>
    <row r="626" ht="15.75" customHeight="1">
      <c r="N626" s="27"/>
    </row>
    <row r="627" ht="15.75" customHeight="1">
      <c r="N627" s="27"/>
    </row>
    <row r="628" ht="15.75" customHeight="1">
      <c r="N628" s="27"/>
    </row>
    <row r="629" ht="15.75" customHeight="1">
      <c r="N629" s="27"/>
    </row>
    <row r="630" ht="15.75" customHeight="1">
      <c r="N630" s="27"/>
    </row>
    <row r="631" ht="15.75" customHeight="1">
      <c r="N631" s="27"/>
    </row>
    <row r="632" ht="15.75" customHeight="1">
      <c r="N632" s="27"/>
    </row>
    <row r="633" ht="15.75" customHeight="1">
      <c r="N633" s="27"/>
    </row>
    <row r="634" ht="15.75" customHeight="1">
      <c r="N634" s="27"/>
    </row>
    <row r="635" ht="15.75" customHeight="1">
      <c r="N635" s="27"/>
    </row>
    <row r="636" ht="15.75" customHeight="1">
      <c r="N636" s="27"/>
    </row>
    <row r="637" ht="15.75" customHeight="1">
      <c r="N637" s="27"/>
    </row>
    <row r="638" ht="15.75" customHeight="1">
      <c r="N638" s="27"/>
    </row>
    <row r="639" ht="15.75" customHeight="1">
      <c r="N639" s="27"/>
    </row>
    <row r="640" ht="15.75" customHeight="1">
      <c r="N640" s="27"/>
    </row>
    <row r="641" ht="15.75" customHeight="1">
      <c r="N641" s="27"/>
    </row>
    <row r="642" ht="15.75" customHeight="1">
      <c r="N642" s="27"/>
    </row>
    <row r="643" ht="15.75" customHeight="1">
      <c r="N643" s="27"/>
    </row>
    <row r="644" ht="15.75" customHeight="1">
      <c r="N644" s="27"/>
    </row>
    <row r="645" ht="15.75" customHeight="1">
      <c r="N645" s="27"/>
    </row>
    <row r="646" ht="15.75" customHeight="1">
      <c r="N646" s="27"/>
    </row>
    <row r="647" ht="15.75" customHeight="1">
      <c r="N647" s="27"/>
    </row>
    <row r="648" ht="15.75" customHeight="1">
      <c r="N648" s="27"/>
    </row>
    <row r="649" ht="15.75" customHeight="1">
      <c r="N649" s="27"/>
    </row>
    <row r="650" ht="15.75" customHeight="1">
      <c r="N650" s="27"/>
    </row>
    <row r="651" ht="15.75" customHeight="1">
      <c r="N651" s="27"/>
    </row>
    <row r="652" ht="15.75" customHeight="1">
      <c r="N652" s="27"/>
    </row>
    <row r="653" ht="15.75" customHeight="1">
      <c r="N653" s="27"/>
    </row>
    <row r="654" ht="15.75" customHeight="1">
      <c r="N654" s="27"/>
    </row>
    <row r="655" ht="15.75" customHeight="1">
      <c r="N655" s="27"/>
    </row>
    <row r="656" ht="15.75" customHeight="1">
      <c r="N656" s="27"/>
    </row>
    <row r="657" ht="15.75" customHeight="1">
      <c r="N657" s="27"/>
    </row>
    <row r="658" ht="15.75" customHeight="1">
      <c r="N658" s="27"/>
    </row>
    <row r="659" ht="15.75" customHeight="1">
      <c r="N659" s="27"/>
    </row>
    <row r="660" ht="15.75" customHeight="1">
      <c r="N660" s="27"/>
    </row>
    <row r="661" ht="15.75" customHeight="1">
      <c r="N661" s="27"/>
    </row>
    <row r="662" ht="15.75" customHeight="1">
      <c r="N662" s="27"/>
    </row>
    <row r="663" ht="15.75" customHeight="1">
      <c r="N663" s="27"/>
    </row>
    <row r="664" ht="15.75" customHeight="1">
      <c r="N664" s="27"/>
    </row>
    <row r="665" ht="15.75" customHeight="1">
      <c r="N665" s="27"/>
    </row>
    <row r="666" ht="15.75" customHeight="1">
      <c r="N666" s="27"/>
    </row>
    <row r="667" ht="15.75" customHeight="1">
      <c r="N667" s="27"/>
    </row>
    <row r="668" ht="15.75" customHeight="1">
      <c r="N668" s="27"/>
    </row>
    <row r="669" ht="15.75" customHeight="1">
      <c r="N669" s="27"/>
    </row>
    <row r="670" ht="15.75" customHeight="1">
      <c r="N670" s="27"/>
    </row>
    <row r="671" ht="15.75" customHeight="1">
      <c r="N671" s="27"/>
    </row>
    <row r="672" ht="15.75" customHeight="1">
      <c r="N672" s="27"/>
    </row>
    <row r="673" ht="15.75" customHeight="1">
      <c r="N673" s="27"/>
    </row>
    <row r="674" ht="15.75" customHeight="1">
      <c r="N674" s="27"/>
    </row>
    <row r="675" ht="15.75" customHeight="1">
      <c r="N675" s="27"/>
    </row>
    <row r="676" ht="15.75" customHeight="1">
      <c r="N676" s="27"/>
    </row>
    <row r="677" ht="15.75" customHeight="1">
      <c r="N677" s="27"/>
    </row>
    <row r="678" ht="15.75" customHeight="1">
      <c r="N678" s="27"/>
    </row>
    <row r="679" ht="15.75" customHeight="1">
      <c r="N679" s="27"/>
    </row>
    <row r="680" ht="15.75" customHeight="1">
      <c r="N680" s="27"/>
    </row>
    <row r="681" ht="15.75" customHeight="1">
      <c r="N681" s="27"/>
    </row>
    <row r="682" ht="15.75" customHeight="1">
      <c r="N682" s="27"/>
    </row>
    <row r="683" ht="15.75" customHeight="1">
      <c r="N683" s="27"/>
    </row>
    <row r="684" ht="15.75" customHeight="1">
      <c r="N684" s="27"/>
    </row>
    <row r="685" ht="15.75" customHeight="1">
      <c r="N685" s="27"/>
    </row>
    <row r="686" ht="15.75" customHeight="1">
      <c r="N686" s="27"/>
    </row>
    <row r="687" ht="15.75" customHeight="1">
      <c r="N687" s="27"/>
    </row>
    <row r="688" ht="15.75" customHeight="1">
      <c r="N688" s="27"/>
    </row>
    <row r="689" ht="15.75" customHeight="1">
      <c r="N689" s="27"/>
    </row>
    <row r="690" ht="15.75" customHeight="1">
      <c r="N690" s="27"/>
    </row>
    <row r="691" ht="15.75" customHeight="1">
      <c r="N691" s="27"/>
    </row>
    <row r="692" ht="15.75" customHeight="1">
      <c r="N692" s="27"/>
    </row>
    <row r="693" ht="15.75" customHeight="1">
      <c r="N693" s="27"/>
    </row>
    <row r="694" ht="15.75" customHeight="1">
      <c r="N694" s="27"/>
    </row>
    <row r="695" ht="15.75" customHeight="1">
      <c r="N695" s="27"/>
    </row>
    <row r="696" ht="15.75" customHeight="1">
      <c r="N696" s="27"/>
    </row>
    <row r="697" ht="15.75" customHeight="1">
      <c r="N697" s="27"/>
    </row>
    <row r="698" ht="15.75" customHeight="1">
      <c r="N698" s="27"/>
    </row>
    <row r="699" ht="15.75" customHeight="1">
      <c r="N699" s="27"/>
    </row>
    <row r="700" ht="15.75" customHeight="1">
      <c r="N700" s="27"/>
    </row>
    <row r="701" ht="15.75" customHeight="1">
      <c r="N701" s="27"/>
    </row>
    <row r="702" ht="15.75" customHeight="1">
      <c r="N702" s="27"/>
    </row>
    <row r="703" ht="15.75" customHeight="1">
      <c r="N703" s="27"/>
    </row>
    <row r="704" ht="15.75" customHeight="1">
      <c r="N704" s="27"/>
    </row>
    <row r="705" ht="15.75" customHeight="1">
      <c r="N705" s="27"/>
    </row>
    <row r="706" ht="15.75" customHeight="1">
      <c r="N706" s="27"/>
    </row>
    <row r="707" ht="15.75" customHeight="1">
      <c r="N707" s="27"/>
    </row>
    <row r="708" ht="15.75" customHeight="1">
      <c r="N708" s="27"/>
    </row>
    <row r="709" ht="15.75" customHeight="1">
      <c r="N709" s="27"/>
    </row>
    <row r="710" ht="15.75" customHeight="1">
      <c r="N710" s="27"/>
    </row>
    <row r="711" ht="15.75" customHeight="1">
      <c r="N711" s="27"/>
    </row>
    <row r="712" ht="15.75" customHeight="1">
      <c r="N712" s="27"/>
    </row>
    <row r="713" ht="15.75" customHeight="1">
      <c r="N713" s="27"/>
    </row>
    <row r="714" ht="15.75" customHeight="1">
      <c r="N714" s="27"/>
    </row>
    <row r="715" ht="15.75" customHeight="1">
      <c r="N715" s="27"/>
    </row>
    <row r="716" ht="15.75" customHeight="1">
      <c r="N716" s="27"/>
    </row>
    <row r="717" ht="15.75" customHeight="1">
      <c r="N717" s="27"/>
    </row>
    <row r="718" ht="15.75" customHeight="1">
      <c r="N718" s="27"/>
    </row>
    <row r="719" ht="15.75" customHeight="1">
      <c r="N719" s="27"/>
    </row>
    <row r="720" ht="15.75" customHeight="1">
      <c r="N720" s="27"/>
    </row>
    <row r="721" ht="15.75" customHeight="1">
      <c r="N721" s="27"/>
    </row>
    <row r="722" ht="15.75" customHeight="1">
      <c r="N722" s="27"/>
    </row>
    <row r="723" ht="15.75" customHeight="1">
      <c r="N723" s="27"/>
    </row>
    <row r="724" ht="15.75" customHeight="1">
      <c r="N724" s="27"/>
    </row>
    <row r="725" ht="15.75" customHeight="1">
      <c r="N725" s="27"/>
    </row>
    <row r="726" ht="15.75" customHeight="1">
      <c r="N726" s="27"/>
    </row>
    <row r="727" ht="15.75" customHeight="1">
      <c r="N727" s="27"/>
    </row>
    <row r="728" ht="15.75" customHeight="1">
      <c r="N728" s="27"/>
    </row>
    <row r="729" ht="15.75" customHeight="1">
      <c r="N729" s="27"/>
    </row>
    <row r="730" ht="15.75" customHeight="1">
      <c r="N730" s="27"/>
    </row>
    <row r="731" ht="15.75" customHeight="1">
      <c r="N731" s="27"/>
    </row>
    <row r="732" ht="15.75" customHeight="1">
      <c r="N732" s="27"/>
    </row>
    <row r="733" ht="15.75" customHeight="1">
      <c r="N733" s="27"/>
    </row>
    <row r="734" ht="15.75" customHeight="1">
      <c r="N734" s="27"/>
    </row>
    <row r="735" ht="15.75" customHeight="1">
      <c r="N735" s="27"/>
    </row>
    <row r="736" ht="15.75" customHeight="1">
      <c r="N736" s="27"/>
    </row>
    <row r="737" ht="15.75" customHeight="1">
      <c r="N737" s="27"/>
    </row>
    <row r="738" ht="15.75" customHeight="1">
      <c r="N738" s="27"/>
    </row>
    <row r="739" ht="15.75" customHeight="1">
      <c r="N739" s="27"/>
    </row>
    <row r="740" ht="15.75" customHeight="1">
      <c r="N740" s="27"/>
    </row>
    <row r="741" ht="15.75" customHeight="1">
      <c r="N741" s="27"/>
    </row>
    <row r="742" ht="15.75" customHeight="1">
      <c r="N742" s="27"/>
    </row>
    <row r="743" ht="15.75" customHeight="1">
      <c r="N743" s="27"/>
    </row>
    <row r="744" ht="15.75" customHeight="1">
      <c r="N744" s="27"/>
    </row>
    <row r="745" ht="15.75" customHeight="1">
      <c r="N745" s="27"/>
    </row>
    <row r="746" ht="15.75" customHeight="1">
      <c r="N746" s="27"/>
    </row>
    <row r="747" ht="15.75" customHeight="1">
      <c r="N747" s="27"/>
    </row>
    <row r="748" ht="15.75" customHeight="1">
      <c r="N748" s="27"/>
    </row>
    <row r="749" ht="15.75" customHeight="1">
      <c r="N749" s="27"/>
    </row>
    <row r="750" ht="15.75" customHeight="1">
      <c r="N750" s="27"/>
    </row>
    <row r="751" ht="15.75" customHeight="1">
      <c r="N751" s="27"/>
    </row>
    <row r="752" ht="15.75" customHeight="1">
      <c r="N752" s="27"/>
    </row>
    <row r="753" ht="15.75" customHeight="1">
      <c r="N753" s="27"/>
    </row>
    <row r="754" ht="15.75" customHeight="1">
      <c r="N754" s="27"/>
    </row>
    <row r="755" ht="15.75" customHeight="1">
      <c r="N755" s="27"/>
    </row>
    <row r="756" ht="15.75" customHeight="1">
      <c r="N756" s="27"/>
    </row>
    <row r="757" ht="15.75" customHeight="1">
      <c r="N757" s="27"/>
    </row>
    <row r="758" ht="15.75" customHeight="1">
      <c r="N758" s="27"/>
    </row>
    <row r="759" ht="15.75" customHeight="1">
      <c r="N759" s="27"/>
    </row>
    <row r="760" ht="15.75" customHeight="1">
      <c r="N760" s="27"/>
    </row>
    <row r="761" ht="15.75" customHeight="1">
      <c r="N761" s="27"/>
    </row>
    <row r="762" ht="15.75" customHeight="1">
      <c r="N762" s="27"/>
    </row>
    <row r="763" ht="15.75" customHeight="1">
      <c r="N763" s="27"/>
    </row>
    <row r="764" ht="15.75" customHeight="1">
      <c r="N764" s="27"/>
    </row>
    <row r="765" ht="15.75" customHeight="1">
      <c r="N765" s="27"/>
    </row>
    <row r="766" ht="15.75" customHeight="1">
      <c r="N766" s="27"/>
    </row>
    <row r="767" ht="15.75" customHeight="1">
      <c r="N767" s="27"/>
    </row>
    <row r="768" ht="15.75" customHeight="1">
      <c r="N768" s="27"/>
    </row>
    <row r="769" ht="15.75" customHeight="1">
      <c r="N769" s="27"/>
    </row>
    <row r="770" ht="15.75" customHeight="1">
      <c r="N770" s="27"/>
    </row>
    <row r="771" ht="15.75" customHeight="1">
      <c r="N771" s="27"/>
    </row>
    <row r="772" ht="15.75" customHeight="1">
      <c r="N772" s="27"/>
    </row>
    <row r="773" ht="15.75" customHeight="1">
      <c r="N773" s="27"/>
    </row>
    <row r="774" ht="15.75" customHeight="1">
      <c r="N774" s="27"/>
    </row>
    <row r="775" ht="15.75" customHeight="1">
      <c r="N775" s="27"/>
    </row>
    <row r="776" ht="15.75" customHeight="1">
      <c r="N776" s="27"/>
    </row>
    <row r="777" ht="15.75" customHeight="1">
      <c r="N777" s="27"/>
    </row>
    <row r="778" ht="15.75" customHeight="1">
      <c r="N778" s="27"/>
    </row>
    <row r="779" ht="15.75" customHeight="1">
      <c r="N779" s="27"/>
    </row>
    <row r="780" ht="15.75" customHeight="1">
      <c r="N780" s="27"/>
    </row>
    <row r="781" ht="15.75" customHeight="1">
      <c r="N781" s="27"/>
    </row>
    <row r="782" ht="15.75" customHeight="1">
      <c r="N782" s="27"/>
    </row>
    <row r="783" ht="15.75" customHeight="1">
      <c r="N783" s="27"/>
    </row>
    <row r="784" ht="15.75" customHeight="1">
      <c r="N784" s="27"/>
    </row>
    <row r="785" ht="15.75" customHeight="1">
      <c r="N785" s="27"/>
    </row>
    <row r="786" ht="15.75" customHeight="1">
      <c r="N786" s="27"/>
    </row>
    <row r="787" ht="15.75" customHeight="1">
      <c r="N787" s="27"/>
    </row>
    <row r="788" ht="15.75" customHeight="1">
      <c r="N788" s="27"/>
    </row>
    <row r="789" ht="15.75" customHeight="1">
      <c r="N789" s="27"/>
    </row>
    <row r="790" ht="15.75" customHeight="1">
      <c r="N790" s="27"/>
    </row>
    <row r="791" ht="15.75" customHeight="1">
      <c r="N791" s="27"/>
    </row>
    <row r="792" ht="15.75" customHeight="1">
      <c r="N792" s="27"/>
    </row>
    <row r="793" ht="15.75" customHeight="1">
      <c r="N793" s="27"/>
    </row>
    <row r="794" ht="15.75" customHeight="1">
      <c r="N794" s="27"/>
    </row>
    <row r="795" ht="15.75" customHeight="1">
      <c r="N795" s="27"/>
    </row>
    <row r="796" ht="15.75" customHeight="1">
      <c r="N796" s="27"/>
    </row>
    <row r="797" ht="15.75" customHeight="1">
      <c r="N797" s="27"/>
    </row>
    <row r="798" ht="15.75" customHeight="1">
      <c r="N798" s="27"/>
    </row>
    <row r="799" ht="15.75" customHeight="1">
      <c r="N799" s="27"/>
    </row>
    <row r="800" ht="15.75" customHeight="1">
      <c r="N800" s="27"/>
    </row>
    <row r="801" ht="15.75" customHeight="1">
      <c r="N801" s="27"/>
    </row>
    <row r="802" ht="15.75" customHeight="1">
      <c r="N802" s="27"/>
    </row>
    <row r="803" ht="15.75" customHeight="1">
      <c r="N803" s="27"/>
    </row>
    <row r="804" ht="15.75" customHeight="1">
      <c r="N804" s="27"/>
    </row>
    <row r="805" ht="15.75" customHeight="1">
      <c r="N805" s="27"/>
    </row>
    <row r="806" ht="15.75" customHeight="1">
      <c r="N806" s="27"/>
    </row>
    <row r="807" ht="15.75" customHeight="1">
      <c r="N807" s="27"/>
    </row>
    <row r="808" ht="15.75" customHeight="1">
      <c r="N808" s="27"/>
    </row>
    <row r="809" ht="15.75" customHeight="1">
      <c r="N809" s="27"/>
    </row>
    <row r="810" ht="15.75" customHeight="1">
      <c r="N810" s="27"/>
    </row>
    <row r="811" ht="15.75" customHeight="1">
      <c r="N811" s="27"/>
    </row>
    <row r="812" ht="15.75" customHeight="1">
      <c r="N812" s="27"/>
    </row>
    <row r="813" ht="15.75" customHeight="1">
      <c r="N813" s="27"/>
    </row>
    <row r="814" ht="15.75" customHeight="1">
      <c r="N814" s="27"/>
    </row>
    <row r="815" ht="15.75" customHeight="1">
      <c r="N815" s="27"/>
    </row>
    <row r="816" ht="15.75" customHeight="1">
      <c r="N816" s="27"/>
    </row>
    <row r="817" ht="15.75" customHeight="1">
      <c r="N817" s="27"/>
    </row>
    <row r="818" ht="15.75" customHeight="1">
      <c r="N818" s="27"/>
    </row>
    <row r="819" ht="15.75" customHeight="1">
      <c r="N819" s="27"/>
    </row>
    <row r="820" ht="15.75" customHeight="1">
      <c r="N820" s="27"/>
    </row>
    <row r="821" ht="15.75" customHeight="1">
      <c r="N821" s="27"/>
    </row>
    <row r="822" ht="15.75" customHeight="1">
      <c r="N822" s="27"/>
    </row>
    <row r="823" ht="15.75" customHeight="1">
      <c r="N823" s="27"/>
    </row>
    <row r="824" ht="15.75" customHeight="1">
      <c r="N824" s="27"/>
    </row>
    <row r="825" ht="15.75" customHeight="1">
      <c r="N825" s="27"/>
    </row>
    <row r="826" ht="15.75" customHeight="1">
      <c r="N826" s="27"/>
    </row>
    <row r="827" ht="15.75" customHeight="1">
      <c r="N827" s="27"/>
    </row>
    <row r="828" ht="15.75" customHeight="1">
      <c r="N828" s="27"/>
    </row>
    <row r="829" ht="15.75" customHeight="1">
      <c r="N829" s="27"/>
    </row>
    <row r="830" ht="15.75" customHeight="1">
      <c r="N830" s="27"/>
    </row>
    <row r="831" ht="15.75" customHeight="1">
      <c r="N831" s="27"/>
    </row>
    <row r="832" ht="15.75" customHeight="1">
      <c r="N832" s="27"/>
    </row>
    <row r="833" ht="15.75" customHeight="1">
      <c r="N833" s="27"/>
    </row>
    <row r="834" ht="15.75" customHeight="1">
      <c r="N834" s="27"/>
    </row>
    <row r="835" ht="15.75" customHeight="1">
      <c r="N835" s="27"/>
    </row>
    <row r="836" ht="15.75" customHeight="1">
      <c r="N836" s="27"/>
    </row>
    <row r="837" ht="15.75" customHeight="1">
      <c r="N837" s="27"/>
    </row>
    <row r="838" ht="15.75" customHeight="1">
      <c r="N838" s="27"/>
    </row>
    <row r="839" ht="15.75" customHeight="1">
      <c r="N839" s="27"/>
    </row>
    <row r="840" ht="15.75" customHeight="1">
      <c r="N840" s="27"/>
    </row>
    <row r="841" ht="15.75" customHeight="1">
      <c r="N841" s="27"/>
    </row>
    <row r="842" ht="15.75" customHeight="1">
      <c r="N842" s="27"/>
    </row>
    <row r="843" ht="15.75" customHeight="1">
      <c r="N843" s="27"/>
    </row>
    <row r="844" ht="15.75" customHeight="1">
      <c r="N844" s="27"/>
    </row>
    <row r="845" ht="15.75" customHeight="1">
      <c r="N845" s="27"/>
    </row>
    <row r="846" ht="15.75" customHeight="1">
      <c r="N846" s="27"/>
    </row>
    <row r="847" ht="15.75" customHeight="1">
      <c r="N847" s="27"/>
    </row>
    <row r="848" ht="15.75" customHeight="1">
      <c r="N848" s="27"/>
    </row>
    <row r="849" ht="15.75" customHeight="1">
      <c r="N849" s="27"/>
    </row>
    <row r="850" ht="15.75" customHeight="1">
      <c r="N850" s="27"/>
    </row>
    <row r="851" ht="15.75" customHeight="1">
      <c r="N851" s="27"/>
    </row>
    <row r="852" ht="15.75" customHeight="1">
      <c r="N852" s="27"/>
    </row>
    <row r="853" ht="15.75" customHeight="1">
      <c r="N853" s="27"/>
    </row>
    <row r="854" ht="15.75" customHeight="1">
      <c r="N854" s="27"/>
    </row>
    <row r="855" ht="15.75" customHeight="1">
      <c r="N855" s="27"/>
    </row>
    <row r="856" ht="15.75" customHeight="1">
      <c r="N856" s="27"/>
    </row>
    <row r="857" ht="15.75" customHeight="1">
      <c r="N857" s="27"/>
    </row>
    <row r="858" ht="15.75" customHeight="1">
      <c r="N858" s="27"/>
    </row>
    <row r="859" ht="15.75" customHeight="1">
      <c r="N859" s="27"/>
    </row>
    <row r="860" ht="15.75" customHeight="1">
      <c r="N860" s="27"/>
    </row>
    <row r="861" ht="15.75" customHeight="1">
      <c r="N861" s="27"/>
    </row>
    <row r="862" ht="15.75" customHeight="1">
      <c r="N862" s="27"/>
    </row>
    <row r="863" ht="15.75" customHeight="1">
      <c r="N863" s="27"/>
    </row>
    <row r="864" ht="15.75" customHeight="1">
      <c r="N864" s="27"/>
    </row>
    <row r="865" ht="15.75" customHeight="1">
      <c r="N865" s="27"/>
    </row>
    <row r="866" ht="15.75" customHeight="1">
      <c r="N866" s="27"/>
    </row>
    <row r="867" ht="15.75" customHeight="1">
      <c r="N867" s="27"/>
    </row>
    <row r="868" ht="15.75" customHeight="1">
      <c r="N868" s="27"/>
    </row>
    <row r="869" ht="15.75" customHeight="1">
      <c r="N869" s="27"/>
    </row>
    <row r="870" ht="15.75" customHeight="1">
      <c r="N870" s="27"/>
    </row>
    <row r="871" ht="15.75" customHeight="1">
      <c r="N871" s="27"/>
    </row>
    <row r="872" ht="15.75" customHeight="1">
      <c r="N872" s="27"/>
    </row>
    <row r="873" ht="15.75" customHeight="1">
      <c r="N873" s="27"/>
    </row>
    <row r="874" ht="15.75" customHeight="1">
      <c r="N874" s="27"/>
    </row>
    <row r="875" ht="15.75" customHeight="1">
      <c r="N875" s="27"/>
    </row>
    <row r="876" ht="15.75" customHeight="1">
      <c r="N876" s="27"/>
    </row>
    <row r="877" ht="15.75" customHeight="1">
      <c r="N877" s="27"/>
    </row>
    <row r="878" ht="15.75" customHeight="1">
      <c r="N878" s="27"/>
    </row>
    <row r="879" ht="15.75" customHeight="1">
      <c r="N879" s="27"/>
    </row>
    <row r="880" ht="15.75" customHeight="1">
      <c r="N880" s="27"/>
    </row>
    <row r="881" ht="15.75" customHeight="1">
      <c r="N881" s="27"/>
    </row>
    <row r="882" ht="15.75" customHeight="1">
      <c r="N882" s="27"/>
    </row>
    <row r="883" ht="15.75" customHeight="1">
      <c r="N883" s="27"/>
    </row>
    <row r="884" ht="15.75" customHeight="1">
      <c r="N884" s="27"/>
    </row>
    <row r="885" ht="15.75" customHeight="1">
      <c r="N885" s="27"/>
    </row>
    <row r="886" ht="15.75" customHeight="1">
      <c r="N886" s="27"/>
    </row>
    <row r="887" ht="15.75" customHeight="1">
      <c r="N887" s="27"/>
    </row>
    <row r="888" ht="15.75" customHeight="1">
      <c r="N888" s="27"/>
    </row>
    <row r="889" ht="15.75" customHeight="1">
      <c r="N889" s="27"/>
    </row>
    <row r="890" ht="15.75" customHeight="1">
      <c r="N890" s="27"/>
    </row>
    <row r="891" ht="15.75" customHeight="1">
      <c r="N891" s="27"/>
    </row>
    <row r="892" ht="15.75" customHeight="1">
      <c r="N892" s="27"/>
    </row>
    <row r="893" ht="15.75" customHeight="1">
      <c r="N893" s="27"/>
    </row>
    <row r="894" ht="15.75" customHeight="1">
      <c r="N894" s="27"/>
    </row>
    <row r="895" ht="15.75" customHeight="1">
      <c r="N895" s="27"/>
    </row>
    <row r="896" ht="15.75" customHeight="1">
      <c r="N896" s="27"/>
    </row>
    <row r="897" ht="15.75" customHeight="1">
      <c r="N897" s="27"/>
    </row>
    <row r="898" ht="15.75" customHeight="1">
      <c r="N898" s="27"/>
    </row>
    <row r="899" ht="15.75" customHeight="1">
      <c r="N899" s="27"/>
    </row>
    <row r="900" ht="15.75" customHeight="1">
      <c r="N900" s="27"/>
    </row>
    <row r="901" ht="15.75" customHeight="1">
      <c r="N901" s="27"/>
    </row>
    <row r="902" ht="15.75" customHeight="1">
      <c r="N902" s="27"/>
    </row>
    <row r="903" ht="15.75" customHeight="1">
      <c r="N903" s="27"/>
    </row>
    <row r="904" ht="15.75" customHeight="1">
      <c r="N904" s="27"/>
    </row>
    <row r="905" ht="15.75" customHeight="1">
      <c r="N905" s="27"/>
    </row>
    <row r="906" ht="15.75" customHeight="1">
      <c r="N906" s="27"/>
    </row>
    <row r="907" ht="15.75" customHeight="1">
      <c r="N907" s="27"/>
    </row>
    <row r="908" ht="15.75" customHeight="1">
      <c r="N908" s="27"/>
    </row>
    <row r="909" ht="15.75" customHeight="1">
      <c r="N909" s="27"/>
    </row>
    <row r="910" ht="15.75" customHeight="1">
      <c r="N910" s="27"/>
    </row>
    <row r="911" ht="15.75" customHeight="1">
      <c r="N911" s="27"/>
    </row>
    <row r="912" ht="15.75" customHeight="1">
      <c r="N912" s="27"/>
    </row>
    <row r="913" ht="15.75" customHeight="1">
      <c r="N913" s="27"/>
    </row>
    <row r="914" ht="15.75" customHeight="1">
      <c r="N914" s="27"/>
    </row>
    <row r="915" ht="15.75" customHeight="1">
      <c r="N915" s="27"/>
    </row>
    <row r="916" ht="15.75" customHeight="1">
      <c r="N916" s="27"/>
    </row>
    <row r="917" ht="15.75" customHeight="1">
      <c r="N917" s="27"/>
    </row>
    <row r="918" ht="15.75" customHeight="1">
      <c r="N918" s="27"/>
    </row>
    <row r="919" ht="15.75" customHeight="1">
      <c r="N919" s="27"/>
    </row>
    <row r="920" ht="15.75" customHeight="1">
      <c r="N920" s="27"/>
    </row>
    <row r="921" ht="15.75" customHeight="1">
      <c r="N921" s="27"/>
    </row>
    <row r="922" ht="15.75" customHeight="1">
      <c r="N922" s="27"/>
    </row>
    <row r="923" ht="15.75" customHeight="1">
      <c r="N923" s="27"/>
    </row>
    <row r="924" ht="15.75" customHeight="1">
      <c r="N924" s="27"/>
    </row>
    <row r="925" ht="15.75" customHeight="1">
      <c r="N925" s="27"/>
    </row>
    <row r="926" ht="15.75" customHeight="1">
      <c r="N926" s="27"/>
    </row>
    <row r="927" ht="15.75" customHeight="1">
      <c r="N927" s="27"/>
    </row>
    <row r="928" ht="15.75" customHeight="1">
      <c r="N928" s="27"/>
    </row>
    <row r="929" ht="15.75" customHeight="1">
      <c r="N929" s="27"/>
    </row>
    <row r="930" ht="15.75" customHeight="1">
      <c r="N930" s="27"/>
    </row>
    <row r="931" ht="15.75" customHeight="1">
      <c r="N931" s="27"/>
    </row>
    <row r="932" ht="15.75" customHeight="1">
      <c r="N932" s="27"/>
    </row>
    <row r="933" ht="15.75" customHeight="1">
      <c r="N933" s="27"/>
    </row>
    <row r="934" ht="15.75" customHeight="1">
      <c r="N934" s="27"/>
    </row>
    <row r="935" ht="15.75" customHeight="1">
      <c r="N935" s="27"/>
    </row>
    <row r="936" ht="15.75" customHeight="1">
      <c r="N936" s="27"/>
    </row>
    <row r="937" ht="15.75" customHeight="1">
      <c r="N937" s="27"/>
    </row>
    <row r="938" ht="15.75" customHeight="1">
      <c r="N938" s="27"/>
    </row>
    <row r="939" ht="15.75" customHeight="1">
      <c r="N939" s="27"/>
    </row>
    <row r="940" ht="15.75" customHeight="1">
      <c r="N940" s="27"/>
    </row>
    <row r="941" ht="15.75" customHeight="1">
      <c r="N941" s="27"/>
    </row>
    <row r="942" ht="15.75" customHeight="1">
      <c r="N942" s="27"/>
    </row>
    <row r="943" ht="15.75" customHeight="1">
      <c r="N943" s="27"/>
    </row>
    <row r="944" ht="15.75" customHeight="1">
      <c r="N944" s="27"/>
    </row>
    <row r="945" ht="15.75" customHeight="1">
      <c r="N945" s="27"/>
    </row>
    <row r="946" ht="15.75" customHeight="1">
      <c r="N946" s="27"/>
    </row>
    <row r="947" ht="15.75" customHeight="1">
      <c r="N947" s="27"/>
    </row>
    <row r="948" ht="15.75" customHeight="1">
      <c r="N948" s="27"/>
    </row>
    <row r="949" ht="15.75" customHeight="1">
      <c r="N949" s="27"/>
    </row>
    <row r="950" ht="15.75" customHeight="1">
      <c r="N950" s="27"/>
    </row>
    <row r="951" ht="15.75" customHeight="1">
      <c r="N951" s="27"/>
    </row>
    <row r="952" ht="15.75" customHeight="1">
      <c r="N952" s="27"/>
    </row>
    <row r="953" ht="15.75" customHeight="1">
      <c r="N953" s="27"/>
    </row>
    <row r="954" ht="15.75" customHeight="1">
      <c r="N954" s="27"/>
    </row>
    <row r="955" ht="15.75" customHeight="1">
      <c r="N955" s="27"/>
    </row>
    <row r="956" ht="15.75" customHeight="1">
      <c r="N956" s="27"/>
    </row>
    <row r="957" ht="15.75" customHeight="1">
      <c r="N957" s="27"/>
    </row>
    <row r="958" ht="15.75" customHeight="1">
      <c r="N958" s="27"/>
    </row>
    <row r="959" ht="15.75" customHeight="1">
      <c r="N959" s="27"/>
    </row>
    <row r="960" ht="15.75" customHeight="1">
      <c r="N960" s="27"/>
    </row>
    <row r="961" ht="15.75" customHeight="1">
      <c r="N961" s="27"/>
    </row>
    <row r="962" ht="15.75" customHeight="1">
      <c r="N962" s="27"/>
    </row>
    <row r="963" ht="15.75" customHeight="1">
      <c r="N963" s="27"/>
    </row>
    <row r="964" ht="15.75" customHeight="1">
      <c r="N964" s="27"/>
    </row>
    <row r="965" ht="15.75" customHeight="1">
      <c r="N965" s="27"/>
    </row>
    <row r="966" ht="15.75" customHeight="1">
      <c r="N966" s="27"/>
    </row>
    <row r="967" ht="15.75" customHeight="1">
      <c r="N967" s="27"/>
    </row>
    <row r="968" ht="15.75" customHeight="1">
      <c r="N968" s="27"/>
    </row>
    <row r="969" ht="15.75" customHeight="1">
      <c r="N969" s="27"/>
    </row>
    <row r="970" ht="15.75" customHeight="1">
      <c r="N970" s="27"/>
    </row>
    <row r="971" ht="15.75" customHeight="1">
      <c r="N971" s="27"/>
    </row>
    <row r="972" ht="15.75" customHeight="1">
      <c r="N972" s="27"/>
    </row>
    <row r="973" ht="15.75" customHeight="1">
      <c r="N973" s="27"/>
    </row>
    <row r="974" ht="15.75" customHeight="1">
      <c r="N974" s="27"/>
    </row>
    <row r="975" ht="15.75" customHeight="1">
      <c r="N975" s="27"/>
    </row>
    <row r="976" ht="15.75" customHeight="1">
      <c r="N976" s="27"/>
    </row>
    <row r="977" ht="15.75" customHeight="1">
      <c r="N977" s="27"/>
    </row>
    <row r="978" ht="15.75" customHeight="1">
      <c r="N978" s="27"/>
    </row>
    <row r="979" ht="15.75" customHeight="1">
      <c r="N979" s="27"/>
    </row>
    <row r="980" ht="15.75" customHeight="1">
      <c r="N980" s="27"/>
    </row>
    <row r="981" ht="15.75" customHeight="1">
      <c r="N981" s="27"/>
    </row>
    <row r="982" ht="15.75" customHeight="1">
      <c r="N982" s="27"/>
    </row>
    <row r="983" ht="15.75" customHeight="1">
      <c r="N983" s="27"/>
    </row>
    <row r="984" ht="15.75" customHeight="1">
      <c r="N984" s="27"/>
    </row>
    <row r="985" ht="15.75" customHeight="1">
      <c r="N985" s="27"/>
    </row>
    <row r="986" ht="15.75" customHeight="1">
      <c r="N986" s="27"/>
    </row>
    <row r="987" ht="15.75" customHeight="1">
      <c r="N987" s="27"/>
    </row>
    <row r="988" ht="15.75" customHeight="1">
      <c r="N988" s="27"/>
    </row>
    <row r="989" ht="15.75" customHeight="1">
      <c r="N989" s="27"/>
    </row>
    <row r="990" ht="15.75" customHeight="1">
      <c r="N990" s="27"/>
    </row>
    <row r="991" ht="15.75" customHeight="1">
      <c r="N991" s="27"/>
    </row>
    <row r="992" ht="15.75" customHeight="1">
      <c r="N992" s="27"/>
    </row>
    <row r="993" ht="15.75" customHeight="1">
      <c r="N993" s="27"/>
    </row>
    <row r="994" ht="15.75" customHeight="1">
      <c r="N994" s="27"/>
    </row>
    <row r="995" ht="15.75" customHeight="1">
      <c r="N995" s="27"/>
    </row>
    <row r="996" ht="15.75" customHeight="1">
      <c r="N996" s="27"/>
    </row>
    <row r="997" ht="15.75" customHeight="1">
      <c r="N997" s="27"/>
    </row>
    <row r="998" ht="15.75" customHeight="1">
      <c r="N998" s="27"/>
    </row>
    <row r="999" ht="15.75" customHeight="1">
      <c r="N999" s="27"/>
    </row>
    <row r="1000" ht="15.75" customHeight="1">
      <c r="N1000" s="27"/>
    </row>
    <row r="1001" ht="15.75" customHeight="1">
      <c r="N1001" s="27"/>
    </row>
    <row r="1002" ht="15.75" customHeight="1">
      <c r="N1002" s="27"/>
    </row>
    <row r="1003" ht="15.75" customHeight="1">
      <c r="N1003" s="27"/>
    </row>
  </sheetData>
  <autoFilter ref="$A$4:$M$94"/>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6.0"/>
    <col customWidth="1" min="2" max="2" width="11.0"/>
    <col customWidth="1" min="3" max="3" width="10.0"/>
    <col customWidth="1" min="4" max="4" width="12.0"/>
    <col customWidth="1" min="5" max="5" width="9.0"/>
    <col customWidth="1" min="6" max="6" width="50.0"/>
    <col customWidth="1" min="7" max="7" width="36.0"/>
    <col customWidth="1" min="8" max="8" width="7.0"/>
    <col customWidth="1" min="9" max="9" width="13.0"/>
    <col customWidth="1" min="10" max="10" width="36.0"/>
    <col customWidth="1" hidden="1" min="11" max="11" width="24.0"/>
    <col customWidth="1" min="12" max="12" width="42.0"/>
    <col customWidth="1" min="13" max="13" width="40.0"/>
    <col customWidth="1" min="14" max="14" width="17.86"/>
    <col customWidth="1" min="15" max="26" width="8.71"/>
  </cols>
  <sheetData>
    <row r="1">
      <c r="A1" s="2" t="s">
        <v>256</v>
      </c>
    </row>
    <row r="2">
      <c r="A2" s="5" t="s">
        <v>28</v>
      </c>
      <c r="C2" s="7">
        <v>46194.0</v>
      </c>
      <c r="E2" s="10" t="s">
        <v>174</v>
      </c>
    </row>
    <row r="3">
      <c r="E3" s="10" t="s">
        <v>61</v>
      </c>
    </row>
    <row r="4">
      <c r="A4" s="4" t="s">
        <v>67</v>
      </c>
      <c r="B4" s="4" t="s">
        <v>69</v>
      </c>
      <c r="C4" s="4" t="s">
        <v>71</v>
      </c>
      <c r="D4" s="4" t="s">
        <v>15</v>
      </c>
      <c r="E4" s="4" t="s">
        <v>72</v>
      </c>
      <c r="F4" s="4" t="s">
        <v>74</v>
      </c>
      <c r="G4" s="4" t="s">
        <v>77</v>
      </c>
      <c r="H4" s="4" t="s">
        <v>79</v>
      </c>
      <c r="I4" s="4" t="s">
        <v>81</v>
      </c>
      <c r="J4" s="4" t="s">
        <v>84</v>
      </c>
      <c r="K4" s="4" t="s">
        <v>85</v>
      </c>
      <c r="L4" s="4" t="s">
        <v>87</v>
      </c>
      <c r="M4" s="4" t="s">
        <v>90</v>
      </c>
      <c r="N4" s="11" t="s">
        <v>97</v>
      </c>
    </row>
    <row r="5">
      <c r="A5" s="6">
        <v>1.0</v>
      </c>
      <c r="B5" s="12">
        <f t="shared" ref="B5:B6" si="1">$C$2+7*(1-1)</f>
        <v>46194</v>
      </c>
      <c r="C5" s="13" t="s">
        <v>142</v>
      </c>
      <c r="D5" s="6" t="s">
        <v>109</v>
      </c>
      <c r="E5" s="6" t="s">
        <v>148</v>
      </c>
      <c r="F5" s="6" t="s">
        <v>296</v>
      </c>
      <c r="G5" s="6"/>
      <c r="H5" s="6"/>
      <c r="I5" s="6" t="s">
        <v>153</v>
      </c>
      <c r="J5" s="6"/>
      <c r="K5" s="6"/>
      <c r="L5" s="6" t="s">
        <v>155</v>
      </c>
      <c r="M5" s="6" t="s">
        <v>300</v>
      </c>
      <c r="N5" s="14"/>
    </row>
    <row r="6">
      <c r="A6" s="6">
        <v>1.0</v>
      </c>
      <c r="B6" s="12">
        <f t="shared" si="1"/>
        <v>46194</v>
      </c>
      <c r="C6" s="13" t="s">
        <v>142</v>
      </c>
      <c r="D6" s="6" t="s">
        <v>118</v>
      </c>
      <c r="E6" s="6" t="s">
        <v>148</v>
      </c>
      <c r="F6" s="6" t="s">
        <v>303</v>
      </c>
      <c r="G6" s="6"/>
      <c r="H6" s="6"/>
      <c r="I6" s="6" t="s">
        <v>153</v>
      </c>
      <c r="J6" s="6"/>
      <c r="K6" s="6"/>
      <c r="L6" s="6" t="s">
        <v>155</v>
      </c>
      <c r="M6" s="6" t="s">
        <v>305</v>
      </c>
      <c r="N6" s="14"/>
    </row>
    <row r="7">
      <c r="A7" s="6">
        <v>2.0</v>
      </c>
      <c r="B7" s="12">
        <f t="shared" ref="B7:B8" si="2">$C$2+7*(2-1)</f>
        <v>46201</v>
      </c>
      <c r="C7" s="13" t="s">
        <v>142</v>
      </c>
      <c r="D7" s="6" t="s">
        <v>109</v>
      </c>
      <c r="E7" s="6" t="s">
        <v>148</v>
      </c>
      <c r="F7" s="6" t="s">
        <v>296</v>
      </c>
      <c r="G7" s="6"/>
      <c r="H7" s="6"/>
      <c r="I7" s="6" t="s">
        <v>153</v>
      </c>
      <c r="J7" s="6"/>
      <c r="K7" s="6"/>
      <c r="L7" s="6" t="s">
        <v>155</v>
      </c>
      <c r="M7" s="6" t="s">
        <v>316</v>
      </c>
      <c r="N7" s="14"/>
    </row>
    <row r="8">
      <c r="A8" s="6">
        <v>2.0</v>
      </c>
      <c r="B8" s="12">
        <f t="shared" si="2"/>
        <v>46201</v>
      </c>
      <c r="C8" s="13" t="s">
        <v>142</v>
      </c>
      <c r="D8" s="6" t="s">
        <v>118</v>
      </c>
      <c r="E8" s="6" t="s">
        <v>148</v>
      </c>
      <c r="F8" s="6" t="s">
        <v>303</v>
      </c>
      <c r="G8" s="6"/>
      <c r="H8" s="6"/>
      <c r="I8" s="6" t="s">
        <v>153</v>
      </c>
      <c r="J8" s="6"/>
      <c r="K8" s="6"/>
      <c r="L8" s="6" t="s">
        <v>155</v>
      </c>
      <c r="M8" s="6" t="s">
        <v>319</v>
      </c>
      <c r="N8" s="14"/>
    </row>
    <row r="9">
      <c r="A9" s="6">
        <v>3.0</v>
      </c>
      <c r="B9" s="12">
        <f t="shared" ref="B9:B10" si="3">$C$2+7*(3-1)</f>
        <v>46208</v>
      </c>
      <c r="C9" s="13" t="s">
        <v>142</v>
      </c>
      <c r="D9" s="6" t="s">
        <v>109</v>
      </c>
      <c r="E9" s="6" t="s">
        <v>148</v>
      </c>
      <c r="F9" s="15" t="s">
        <v>328</v>
      </c>
      <c r="G9" s="6"/>
      <c r="H9" s="6"/>
      <c r="I9" s="16" t="s">
        <v>46</v>
      </c>
      <c r="J9" s="6"/>
      <c r="K9" s="6"/>
      <c r="L9" s="6" t="s">
        <v>155</v>
      </c>
      <c r="M9" s="6" t="s">
        <v>330</v>
      </c>
      <c r="N9" s="14"/>
    </row>
    <row r="10">
      <c r="A10" s="6">
        <v>3.0</v>
      </c>
      <c r="B10" s="12">
        <f t="shared" si="3"/>
        <v>46208</v>
      </c>
      <c r="C10" s="13" t="s">
        <v>142</v>
      </c>
      <c r="D10" s="6" t="s">
        <v>118</v>
      </c>
      <c r="E10" s="6" t="s">
        <v>148</v>
      </c>
      <c r="F10" s="22" t="s">
        <v>334</v>
      </c>
      <c r="G10" s="6"/>
      <c r="H10" s="6"/>
      <c r="I10" s="22" t="s">
        <v>326</v>
      </c>
      <c r="J10" s="6"/>
      <c r="K10" s="6"/>
      <c r="L10" s="6" t="s">
        <v>335</v>
      </c>
      <c r="M10" s="6" t="s">
        <v>328</v>
      </c>
      <c r="N10" s="14"/>
    </row>
    <row r="11">
      <c r="A11" s="6">
        <v>4.0</v>
      </c>
      <c r="B11" s="12">
        <f t="shared" ref="B11:B12" si="4">$C$2+7*(4-1)</f>
        <v>46215</v>
      </c>
      <c r="C11" s="17" t="s">
        <v>163</v>
      </c>
      <c r="D11" s="6" t="s">
        <v>109</v>
      </c>
      <c r="E11" s="6" t="s">
        <v>148</v>
      </c>
      <c r="F11" s="6" t="s">
        <v>343</v>
      </c>
      <c r="G11" s="6" t="s">
        <v>345</v>
      </c>
      <c r="H11" s="6">
        <v>4.0</v>
      </c>
      <c r="I11" s="6" t="s">
        <v>167</v>
      </c>
      <c r="J11" s="6" t="s">
        <v>346</v>
      </c>
      <c r="K11" s="6" t="s">
        <v>233</v>
      </c>
      <c r="L11" s="6" t="s">
        <v>348</v>
      </c>
      <c r="M11" s="6" t="s">
        <v>350</v>
      </c>
      <c r="N11" s="14"/>
    </row>
    <row r="12">
      <c r="A12" s="6">
        <v>4.0</v>
      </c>
      <c r="B12" s="12">
        <f t="shared" si="4"/>
        <v>46215</v>
      </c>
      <c r="C12" s="17" t="s">
        <v>163</v>
      </c>
      <c r="D12" s="6" t="s">
        <v>118</v>
      </c>
      <c r="E12" s="6" t="s">
        <v>148</v>
      </c>
      <c r="F12" s="6" t="s">
        <v>353</v>
      </c>
      <c r="G12" s="6" t="s">
        <v>354</v>
      </c>
      <c r="H12" s="6">
        <v>3.0</v>
      </c>
      <c r="I12" s="6" t="s">
        <v>167</v>
      </c>
      <c r="J12" s="6"/>
      <c r="K12" s="6" t="s">
        <v>233</v>
      </c>
      <c r="L12" s="6" t="s">
        <v>367</v>
      </c>
      <c r="M12" s="6" t="s">
        <v>370</v>
      </c>
      <c r="N12" s="14"/>
    </row>
    <row r="13">
      <c r="A13" s="6">
        <v>5.0</v>
      </c>
      <c r="B13" s="12">
        <f t="shared" ref="B13:B14" si="5">$C$2+7*(5-1)</f>
        <v>46222</v>
      </c>
      <c r="C13" s="17" t="s">
        <v>163</v>
      </c>
      <c r="D13" s="6" t="s">
        <v>109</v>
      </c>
      <c r="E13" s="6" t="s">
        <v>148</v>
      </c>
      <c r="F13" s="6" t="s">
        <v>375</v>
      </c>
      <c r="G13" s="6" t="s">
        <v>376</v>
      </c>
      <c r="H13" s="6">
        <v>1.0</v>
      </c>
      <c r="I13" s="6" t="s">
        <v>175</v>
      </c>
      <c r="J13" s="6"/>
      <c r="K13" s="6" t="s">
        <v>233</v>
      </c>
      <c r="L13" s="6" t="s">
        <v>249</v>
      </c>
      <c r="M13" s="6" t="s">
        <v>383</v>
      </c>
      <c r="N13" s="14"/>
    </row>
    <row r="14">
      <c r="A14" s="6">
        <v>5.0</v>
      </c>
      <c r="B14" s="12">
        <f t="shared" si="5"/>
        <v>46222</v>
      </c>
      <c r="C14" s="17" t="s">
        <v>163</v>
      </c>
      <c r="D14" s="6" t="s">
        <v>118</v>
      </c>
      <c r="E14" s="6" t="s">
        <v>148</v>
      </c>
      <c r="F14" s="6" t="s">
        <v>388</v>
      </c>
      <c r="G14" s="6" t="s">
        <v>389</v>
      </c>
      <c r="H14" s="6">
        <v>3.0</v>
      </c>
      <c r="I14" s="6" t="s">
        <v>175</v>
      </c>
      <c r="J14" s="6"/>
      <c r="K14" s="6" t="s">
        <v>233</v>
      </c>
      <c r="L14" s="6"/>
      <c r="M14" s="6" t="s">
        <v>392</v>
      </c>
      <c r="N14" s="14"/>
    </row>
    <row r="15">
      <c r="A15" s="6">
        <v>6.0</v>
      </c>
      <c r="B15" s="12">
        <f t="shared" ref="B15:B16" si="6">$C$2+7*(6-1)</f>
        <v>46229</v>
      </c>
      <c r="C15" s="17" t="s">
        <v>163</v>
      </c>
      <c r="D15" s="6" t="s">
        <v>109</v>
      </c>
      <c r="E15" s="6" t="s">
        <v>148</v>
      </c>
      <c r="F15" s="6" t="s">
        <v>399</v>
      </c>
      <c r="G15" s="6" t="s">
        <v>401</v>
      </c>
      <c r="H15" s="6">
        <v>2.0</v>
      </c>
      <c r="I15" s="6" t="s">
        <v>175</v>
      </c>
      <c r="J15" s="6"/>
      <c r="K15" s="6" t="s">
        <v>233</v>
      </c>
      <c r="L15" s="6"/>
      <c r="M15" s="6" t="s">
        <v>404</v>
      </c>
      <c r="N15" s="14"/>
    </row>
    <row r="16">
      <c r="A16" s="6">
        <v>6.0</v>
      </c>
      <c r="B16" s="12">
        <f t="shared" si="6"/>
        <v>46229</v>
      </c>
      <c r="C16" s="17" t="s">
        <v>163</v>
      </c>
      <c r="D16" s="6" t="s">
        <v>118</v>
      </c>
      <c r="E16" s="6" t="s">
        <v>148</v>
      </c>
      <c r="F16" s="6" t="s">
        <v>410</v>
      </c>
      <c r="G16" s="6"/>
      <c r="H16" s="6"/>
      <c r="I16" s="6" t="s">
        <v>204</v>
      </c>
      <c r="J16" s="6"/>
      <c r="K16" s="6" t="s">
        <v>233</v>
      </c>
      <c r="L16" s="6" t="s">
        <v>249</v>
      </c>
      <c r="M16" s="6" t="s">
        <v>411</v>
      </c>
      <c r="N16" s="14"/>
    </row>
    <row r="17">
      <c r="A17" s="6">
        <v>7.0</v>
      </c>
      <c r="B17" s="12">
        <f t="shared" ref="B17:B18" si="7">$C$2+7*(7-1)</f>
        <v>46236</v>
      </c>
      <c r="C17" s="17" t="s">
        <v>163</v>
      </c>
      <c r="D17" s="6" t="s">
        <v>109</v>
      </c>
      <c r="E17" s="6" t="s">
        <v>148</v>
      </c>
      <c r="F17" s="6" t="s">
        <v>421</v>
      </c>
      <c r="G17" s="6" t="s">
        <v>422</v>
      </c>
      <c r="H17" s="6">
        <v>1.0</v>
      </c>
      <c r="I17" s="6" t="s">
        <v>175</v>
      </c>
      <c r="J17" s="6"/>
      <c r="K17" s="6" t="s">
        <v>233</v>
      </c>
      <c r="L17" s="6"/>
      <c r="M17" s="6" t="s">
        <v>423</v>
      </c>
      <c r="N17" s="14"/>
    </row>
    <row r="18">
      <c r="A18" s="6">
        <v>7.0</v>
      </c>
      <c r="B18" s="12">
        <f t="shared" si="7"/>
        <v>46236</v>
      </c>
      <c r="C18" s="17" t="s">
        <v>163</v>
      </c>
      <c r="D18" s="6" t="s">
        <v>118</v>
      </c>
      <c r="E18" s="6" t="s">
        <v>148</v>
      </c>
      <c r="F18" s="6" t="s">
        <v>429</v>
      </c>
      <c r="G18" s="6" t="s">
        <v>430</v>
      </c>
      <c r="H18" s="6">
        <v>1.0</v>
      </c>
      <c r="I18" s="6" t="s">
        <v>175</v>
      </c>
      <c r="J18" s="6"/>
      <c r="K18" s="6" t="s">
        <v>233</v>
      </c>
      <c r="L18" s="6"/>
      <c r="M18" s="6" t="s">
        <v>388</v>
      </c>
      <c r="N18" s="14"/>
    </row>
    <row r="19">
      <c r="A19" s="6">
        <v>8.0</v>
      </c>
      <c r="B19" s="12">
        <f t="shared" ref="B19:B20" si="8">$C$2+7*(8-1)</f>
        <v>46243</v>
      </c>
      <c r="C19" s="17" t="s">
        <v>163</v>
      </c>
      <c r="D19" s="6" t="s">
        <v>109</v>
      </c>
      <c r="E19" s="6" t="s">
        <v>148</v>
      </c>
      <c r="F19" s="6" t="s">
        <v>439</v>
      </c>
      <c r="G19" s="6"/>
      <c r="H19" s="6"/>
      <c r="I19" s="6" t="s">
        <v>204</v>
      </c>
      <c r="J19" s="6" t="s">
        <v>440</v>
      </c>
      <c r="K19" s="6" t="s">
        <v>233</v>
      </c>
      <c r="L19" s="6" t="s">
        <v>442</v>
      </c>
      <c r="M19" s="6" t="s">
        <v>443</v>
      </c>
      <c r="N19" s="14"/>
    </row>
    <row r="20">
      <c r="A20" s="6">
        <v>8.0</v>
      </c>
      <c r="B20" s="12">
        <f t="shared" si="8"/>
        <v>46243</v>
      </c>
      <c r="C20" s="17" t="s">
        <v>163</v>
      </c>
      <c r="D20" s="6" t="s">
        <v>118</v>
      </c>
      <c r="E20" s="6" t="s">
        <v>148</v>
      </c>
      <c r="F20" s="6" t="s">
        <v>446</v>
      </c>
      <c r="G20" s="6" t="s">
        <v>448</v>
      </c>
      <c r="H20" s="6">
        <v>2.0</v>
      </c>
      <c r="I20" s="6" t="s">
        <v>175</v>
      </c>
      <c r="J20" s="6"/>
      <c r="K20" s="6" t="s">
        <v>233</v>
      </c>
      <c r="L20" s="6"/>
      <c r="M20" s="6" t="s">
        <v>449</v>
      </c>
      <c r="N20" s="14"/>
    </row>
    <row r="21" ht="15.75" customHeight="1">
      <c r="A21" s="6">
        <v>9.0</v>
      </c>
      <c r="B21" s="12">
        <f t="shared" ref="B21:B22" si="9">$C$2+7*(9-1)</f>
        <v>46250</v>
      </c>
      <c r="C21" s="17" t="s">
        <v>163</v>
      </c>
      <c r="D21" s="6" t="s">
        <v>109</v>
      </c>
      <c r="E21" s="6" t="s">
        <v>148</v>
      </c>
      <c r="F21" s="6" t="s">
        <v>457</v>
      </c>
      <c r="G21" s="6" t="s">
        <v>460</v>
      </c>
      <c r="H21" s="6">
        <v>2.0</v>
      </c>
      <c r="I21" s="6" t="s">
        <v>175</v>
      </c>
      <c r="J21" s="6"/>
      <c r="K21" s="6" t="s">
        <v>233</v>
      </c>
      <c r="L21" s="6"/>
      <c r="M21" s="6" t="s">
        <v>463</v>
      </c>
      <c r="N21" s="14"/>
    </row>
    <row r="22" ht="15.75" customHeight="1">
      <c r="A22" s="6">
        <v>9.0</v>
      </c>
      <c r="B22" s="12">
        <f t="shared" si="9"/>
        <v>46250</v>
      </c>
      <c r="C22" s="17" t="s">
        <v>163</v>
      </c>
      <c r="D22" s="6" t="s">
        <v>118</v>
      </c>
      <c r="E22" s="6" t="s">
        <v>148</v>
      </c>
      <c r="F22" s="6" t="s">
        <v>468</v>
      </c>
      <c r="G22" s="6"/>
      <c r="H22" s="6"/>
      <c r="I22" s="6" t="s">
        <v>204</v>
      </c>
      <c r="J22" s="6" t="s">
        <v>470</v>
      </c>
      <c r="K22" s="6" t="s">
        <v>233</v>
      </c>
      <c r="L22" s="6" t="s">
        <v>249</v>
      </c>
      <c r="M22" s="6" t="s">
        <v>429</v>
      </c>
      <c r="N22" s="14"/>
    </row>
    <row r="23" ht="15.75" customHeight="1">
      <c r="A23" s="6">
        <v>10.0</v>
      </c>
      <c r="B23" s="12">
        <f t="shared" ref="B23:B24" si="10">$C$2+7*(10-1)</f>
        <v>46257</v>
      </c>
      <c r="C23" s="17" t="s">
        <v>163</v>
      </c>
      <c r="D23" s="6" t="s">
        <v>109</v>
      </c>
      <c r="E23" s="6" t="s">
        <v>148</v>
      </c>
      <c r="F23" s="6" t="s">
        <v>480</v>
      </c>
      <c r="G23" s="6" t="s">
        <v>481</v>
      </c>
      <c r="H23" s="6">
        <v>4.0</v>
      </c>
      <c r="I23" s="6" t="s">
        <v>167</v>
      </c>
      <c r="J23" s="6"/>
      <c r="K23" s="6" t="s">
        <v>233</v>
      </c>
      <c r="L23" s="6" t="s">
        <v>485</v>
      </c>
      <c r="M23" s="6" t="s">
        <v>487</v>
      </c>
      <c r="N23" s="14"/>
    </row>
    <row r="24" ht="15.75" customHeight="1">
      <c r="A24" s="6">
        <v>10.0</v>
      </c>
      <c r="B24" s="12">
        <f t="shared" si="10"/>
        <v>46257</v>
      </c>
      <c r="C24" s="17" t="s">
        <v>163</v>
      </c>
      <c r="D24" s="6" t="s">
        <v>118</v>
      </c>
      <c r="E24" s="6" t="s">
        <v>148</v>
      </c>
      <c r="F24" s="20" t="s">
        <v>491</v>
      </c>
      <c r="G24" s="6"/>
      <c r="H24" s="6"/>
      <c r="I24" s="21" t="s">
        <v>288</v>
      </c>
      <c r="J24" s="6"/>
      <c r="K24" s="6" t="s">
        <v>233</v>
      </c>
      <c r="L24" s="6" t="s">
        <v>349</v>
      </c>
      <c r="M24" s="6" t="s">
        <v>500</v>
      </c>
      <c r="N24" s="14"/>
    </row>
    <row r="25" ht="15.75" customHeight="1">
      <c r="A25" s="6">
        <v>11.0</v>
      </c>
      <c r="B25" s="12">
        <f t="shared" ref="B25:B26" si="11">$C$2+7*(11-1)</f>
        <v>46264</v>
      </c>
      <c r="C25" s="17" t="s">
        <v>163</v>
      </c>
      <c r="D25" s="6" t="s">
        <v>109</v>
      </c>
      <c r="E25" s="6" t="s">
        <v>148</v>
      </c>
      <c r="F25" s="6" t="s">
        <v>512</v>
      </c>
      <c r="G25" s="6"/>
      <c r="H25" s="6"/>
      <c r="I25" s="6" t="s">
        <v>204</v>
      </c>
      <c r="J25" s="6" t="s">
        <v>515</v>
      </c>
      <c r="K25" s="6" t="s">
        <v>233</v>
      </c>
      <c r="L25" s="6" t="s">
        <v>249</v>
      </c>
      <c r="M25" s="6" t="s">
        <v>517</v>
      </c>
      <c r="N25" s="14"/>
    </row>
    <row r="26" ht="15.75" customHeight="1">
      <c r="A26" s="6">
        <v>11.0</v>
      </c>
      <c r="B26" s="12">
        <f t="shared" si="11"/>
        <v>46264</v>
      </c>
      <c r="C26" s="17" t="s">
        <v>163</v>
      </c>
      <c r="D26" s="6" t="s">
        <v>118</v>
      </c>
      <c r="E26" s="6" t="s">
        <v>148</v>
      </c>
      <c r="F26" s="6" t="s">
        <v>521</v>
      </c>
      <c r="G26" s="6" t="s">
        <v>523</v>
      </c>
      <c r="H26" s="6">
        <v>3.0</v>
      </c>
      <c r="I26" s="6" t="s">
        <v>175</v>
      </c>
      <c r="J26" s="6" t="s">
        <v>526</v>
      </c>
      <c r="K26" s="6" t="s">
        <v>233</v>
      </c>
      <c r="L26" s="6"/>
      <c r="M26" s="6" t="s">
        <v>530</v>
      </c>
      <c r="N26" s="14"/>
    </row>
    <row r="27" ht="15.75" customHeight="1">
      <c r="A27" s="6">
        <v>12.0</v>
      </c>
      <c r="B27" s="12">
        <f t="shared" ref="B27:B28" si="12">$C$2+7*(12-1)</f>
        <v>46271</v>
      </c>
      <c r="C27" s="17" t="s">
        <v>163</v>
      </c>
      <c r="D27" s="6" t="s">
        <v>109</v>
      </c>
      <c r="E27" s="6" t="s">
        <v>148</v>
      </c>
      <c r="F27" s="6" t="s">
        <v>542</v>
      </c>
      <c r="G27" s="6" t="s">
        <v>543</v>
      </c>
      <c r="H27" s="6">
        <v>2.0</v>
      </c>
      <c r="I27" s="6" t="s">
        <v>175</v>
      </c>
      <c r="J27" s="6" t="s">
        <v>545</v>
      </c>
      <c r="K27" s="6" t="s">
        <v>233</v>
      </c>
      <c r="L27" s="6"/>
      <c r="M27" s="6" t="s">
        <v>549</v>
      </c>
      <c r="N27" s="14"/>
    </row>
    <row r="28" ht="15.75" customHeight="1">
      <c r="A28" s="6">
        <v>12.0</v>
      </c>
      <c r="B28" s="12">
        <f t="shared" si="12"/>
        <v>46271</v>
      </c>
      <c r="C28" s="17" t="s">
        <v>163</v>
      </c>
      <c r="D28" s="6" t="s">
        <v>118</v>
      </c>
      <c r="E28" s="6" t="s">
        <v>148</v>
      </c>
      <c r="F28" s="6" t="s">
        <v>555</v>
      </c>
      <c r="G28" s="6" t="s">
        <v>556</v>
      </c>
      <c r="H28" s="6">
        <v>2.0</v>
      </c>
      <c r="I28" s="6" t="s">
        <v>167</v>
      </c>
      <c r="J28" s="6"/>
      <c r="K28" s="6" t="s">
        <v>233</v>
      </c>
      <c r="L28" s="6" t="s">
        <v>557</v>
      </c>
      <c r="M28" s="6" t="s">
        <v>558</v>
      </c>
      <c r="N28" s="14"/>
    </row>
    <row r="29" ht="15.75" customHeight="1">
      <c r="A29" s="6">
        <v>13.0</v>
      </c>
      <c r="B29" s="12">
        <f t="shared" ref="B29:B30" si="13">$C$2+7*(13-1)</f>
        <v>46278</v>
      </c>
      <c r="C29" s="17" t="s">
        <v>163</v>
      </c>
      <c r="D29" s="6" t="s">
        <v>109</v>
      </c>
      <c r="E29" s="6" t="s">
        <v>148</v>
      </c>
      <c r="F29" s="6" t="s">
        <v>563</v>
      </c>
      <c r="G29" s="6"/>
      <c r="H29" s="6"/>
      <c r="I29" s="6" t="s">
        <v>204</v>
      </c>
      <c r="J29" s="6" t="s">
        <v>565</v>
      </c>
      <c r="K29" s="6" t="s">
        <v>233</v>
      </c>
      <c r="L29" s="6" t="s">
        <v>274</v>
      </c>
      <c r="M29" s="6" t="s">
        <v>571</v>
      </c>
      <c r="N29" s="14"/>
    </row>
    <row r="30" ht="15.75" customHeight="1">
      <c r="A30" s="6">
        <v>13.0</v>
      </c>
      <c r="B30" s="12">
        <f t="shared" si="13"/>
        <v>46278</v>
      </c>
      <c r="C30" s="17" t="s">
        <v>163</v>
      </c>
      <c r="D30" s="6" t="s">
        <v>118</v>
      </c>
      <c r="E30" s="6" t="s">
        <v>148</v>
      </c>
      <c r="F30" s="6" t="s">
        <v>577</v>
      </c>
      <c r="G30" s="6"/>
      <c r="H30" s="6"/>
      <c r="I30" s="6" t="s">
        <v>204</v>
      </c>
      <c r="J30" s="6"/>
      <c r="K30" s="6" t="s">
        <v>233</v>
      </c>
      <c r="L30" s="6" t="s">
        <v>578</v>
      </c>
      <c r="M30" s="6" t="s">
        <v>558</v>
      </c>
      <c r="N30" s="14"/>
    </row>
    <row r="31" ht="15.75" customHeight="1">
      <c r="A31" s="6">
        <v>14.0</v>
      </c>
      <c r="B31" s="12">
        <f t="shared" ref="B31:B32" si="14">$C$2+7*(14-1)</f>
        <v>46285</v>
      </c>
      <c r="C31" s="17" t="s">
        <v>163</v>
      </c>
      <c r="D31" s="6" t="s">
        <v>109</v>
      </c>
      <c r="E31" s="6" t="s">
        <v>148</v>
      </c>
      <c r="F31" s="20" t="s">
        <v>587</v>
      </c>
      <c r="G31" s="6"/>
      <c r="H31" s="6"/>
      <c r="I31" s="21" t="s">
        <v>288</v>
      </c>
      <c r="J31" s="6" t="s">
        <v>588</v>
      </c>
      <c r="K31" s="6" t="s">
        <v>233</v>
      </c>
      <c r="L31" s="6" t="s">
        <v>380</v>
      </c>
      <c r="M31" s="6" t="s">
        <v>589</v>
      </c>
      <c r="N31" s="14"/>
    </row>
    <row r="32" ht="15.75" customHeight="1">
      <c r="A32" s="6">
        <v>14.0</v>
      </c>
      <c r="B32" s="12">
        <f t="shared" si="14"/>
        <v>46285</v>
      </c>
      <c r="C32" s="17" t="s">
        <v>163</v>
      </c>
      <c r="D32" s="18" t="s">
        <v>236</v>
      </c>
      <c r="E32" s="6" t="s">
        <v>148</v>
      </c>
      <c r="F32" s="6" t="s">
        <v>598</v>
      </c>
      <c r="G32" s="6"/>
      <c r="H32" s="6"/>
      <c r="I32" s="6" t="s">
        <v>204</v>
      </c>
      <c r="J32" s="6" t="s">
        <v>599</v>
      </c>
      <c r="K32" s="6" t="s">
        <v>233</v>
      </c>
      <c r="L32" s="6" t="s">
        <v>257</v>
      </c>
      <c r="M32" s="6" t="s">
        <v>602</v>
      </c>
      <c r="N32" s="14"/>
    </row>
    <row r="33" ht="15.75" customHeight="1">
      <c r="A33" s="6">
        <v>15.0</v>
      </c>
      <c r="B33" s="12">
        <f t="shared" ref="B33:B34" si="15">$C$2+7*(15-1)</f>
        <v>46292</v>
      </c>
      <c r="C33" s="17" t="s">
        <v>163</v>
      </c>
      <c r="D33" s="6" t="s">
        <v>109</v>
      </c>
      <c r="E33" s="6" t="s">
        <v>148</v>
      </c>
      <c r="F33" s="19" t="s">
        <v>394</v>
      </c>
      <c r="G33" s="6"/>
      <c r="H33" s="6"/>
      <c r="I33" s="19" t="s">
        <v>280</v>
      </c>
      <c r="J33" s="6"/>
      <c r="K33" s="6" t="s">
        <v>233</v>
      </c>
      <c r="L33" s="6"/>
      <c r="M33" s="6" t="s">
        <v>607</v>
      </c>
      <c r="N33" s="14"/>
    </row>
    <row r="34" ht="15.75" customHeight="1">
      <c r="A34" s="6">
        <v>15.0</v>
      </c>
      <c r="B34" s="12">
        <f t="shared" si="15"/>
        <v>46292</v>
      </c>
      <c r="C34" s="17" t="s">
        <v>163</v>
      </c>
      <c r="D34" s="6" t="s">
        <v>118</v>
      </c>
      <c r="E34" s="6" t="s">
        <v>148</v>
      </c>
      <c r="F34" s="19" t="s">
        <v>614</v>
      </c>
      <c r="G34" s="6"/>
      <c r="H34" s="6"/>
      <c r="I34" s="19" t="s">
        <v>280</v>
      </c>
      <c r="J34" s="6"/>
      <c r="K34" s="6" t="s">
        <v>233</v>
      </c>
      <c r="L34" s="6"/>
      <c r="M34" s="6" t="s">
        <v>615</v>
      </c>
      <c r="N34" s="14"/>
    </row>
    <row r="35" ht="15.75" customHeight="1">
      <c r="A35" s="6">
        <v>16.0</v>
      </c>
      <c r="B35" s="12">
        <f t="shared" ref="B35:B36" si="16">$C$2+7*(16-1)</f>
        <v>46299</v>
      </c>
      <c r="C35" s="17" t="s">
        <v>163</v>
      </c>
      <c r="D35" s="6" t="s">
        <v>109</v>
      </c>
      <c r="E35" s="6" t="s">
        <v>148</v>
      </c>
      <c r="F35" s="19" t="s">
        <v>304</v>
      </c>
      <c r="G35" s="6"/>
      <c r="H35" s="6"/>
      <c r="I35" s="19" t="s">
        <v>280</v>
      </c>
      <c r="J35" s="6"/>
      <c r="K35" s="6" t="s">
        <v>233</v>
      </c>
      <c r="L35" s="6"/>
      <c r="M35" s="6" t="s">
        <v>624</v>
      </c>
      <c r="N35" s="14"/>
    </row>
    <row r="36" ht="15.75" customHeight="1">
      <c r="A36" s="6">
        <v>16.0</v>
      </c>
      <c r="B36" s="12">
        <f t="shared" si="16"/>
        <v>46299</v>
      </c>
      <c r="C36" s="17" t="s">
        <v>163</v>
      </c>
      <c r="D36" s="6" t="s">
        <v>118</v>
      </c>
      <c r="E36" s="6" t="s">
        <v>148</v>
      </c>
      <c r="F36" s="19" t="s">
        <v>417</v>
      </c>
      <c r="G36" s="6"/>
      <c r="H36" s="6"/>
      <c r="I36" s="19" t="s">
        <v>280</v>
      </c>
      <c r="J36" s="6"/>
      <c r="K36" s="6" t="s">
        <v>233</v>
      </c>
      <c r="L36" s="6"/>
      <c r="M36" s="6" t="s">
        <v>631</v>
      </c>
      <c r="N36" s="14"/>
    </row>
    <row r="37" ht="15.75" customHeight="1">
      <c r="A37" s="6">
        <v>17.0</v>
      </c>
      <c r="B37" s="12">
        <f t="shared" ref="B37:B38" si="17">$C$2+7*(17-1)</f>
        <v>46306</v>
      </c>
      <c r="C37" s="17" t="s">
        <v>163</v>
      </c>
      <c r="D37" s="6" t="s">
        <v>109</v>
      </c>
      <c r="E37" s="6" t="s">
        <v>148</v>
      </c>
      <c r="F37" s="15" t="s">
        <v>317</v>
      </c>
      <c r="G37" s="6"/>
      <c r="H37" s="6"/>
      <c r="I37" s="16" t="s">
        <v>46</v>
      </c>
      <c r="J37" s="6"/>
      <c r="K37" s="6"/>
      <c r="L37" s="6"/>
      <c r="M37" s="6" t="s">
        <v>640</v>
      </c>
      <c r="N37" s="14"/>
    </row>
    <row r="38" ht="15.75" customHeight="1">
      <c r="A38" s="6">
        <v>17.0</v>
      </c>
      <c r="B38" s="12">
        <f t="shared" si="17"/>
        <v>46306</v>
      </c>
      <c r="C38" s="17" t="s">
        <v>163</v>
      </c>
      <c r="D38" s="6" t="s">
        <v>118</v>
      </c>
      <c r="E38" s="6" t="s">
        <v>148</v>
      </c>
      <c r="F38" s="22" t="s">
        <v>322</v>
      </c>
      <c r="G38" s="6"/>
      <c r="H38" s="6"/>
      <c r="I38" s="22" t="s">
        <v>326</v>
      </c>
      <c r="J38" s="6"/>
      <c r="K38" s="6"/>
      <c r="L38" s="6" t="s">
        <v>327</v>
      </c>
      <c r="M38" s="6" t="s">
        <v>648</v>
      </c>
      <c r="N38" s="14"/>
    </row>
    <row r="39" ht="15.75" customHeight="1">
      <c r="A39" s="6">
        <v>18.0</v>
      </c>
      <c r="B39" s="12">
        <f t="shared" ref="B39:B40" si="18">$C$2+7*(18-1)</f>
        <v>46313</v>
      </c>
      <c r="C39" s="17" t="s">
        <v>163</v>
      </c>
      <c r="D39" s="6" t="s">
        <v>109</v>
      </c>
      <c r="E39" s="6" t="s">
        <v>148</v>
      </c>
      <c r="F39" s="15" t="s">
        <v>336</v>
      </c>
      <c r="G39" s="6"/>
      <c r="H39" s="6"/>
      <c r="I39" s="16" t="s">
        <v>46</v>
      </c>
      <c r="J39" s="6"/>
      <c r="K39" s="6"/>
      <c r="L39" s="6" t="s">
        <v>339</v>
      </c>
      <c r="M39" s="6" t="s">
        <v>659</v>
      </c>
      <c r="N39" s="14"/>
    </row>
    <row r="40" ht="15.75" customHeight="1">
      <c r="A40" s="6">
        <v>18.0</v>
      </c>
      <c r="B40" s="12">
        <f t="shared" si="18"/>
        <v>46313</v>
      </c>
      <c r="C40" s="17" t="s">
        <v>163</v>
      </c>
      <c r="D40" s="6" t="s">
        <v>118</v>
      </c>
      <c r="E40" s="6" t="s">
        <v>148</v>
      </c>
      <c r="F40" s="22" t="s">
        <v>342</v>
      </c>
      <c r="G40" s="6"/>
      <c r="H40" s="6"/>
      <c r="I40" s="22" t="s">
        <v>326</v>
      </c>
      <c r="J40" s="6"/>
      <c r="K40" s="6"/>
      <c r="L40" s="6" t="s">
        <v>327</v>
      </c>
      <c r="M40" s="6" t="s">
        <v>667</v>
      </c>
      <c r="N40" s="14"/>
    </row>
    <row r="41" ht="15.75" customHeight="1">
      <c r="A41" s="6">
        <v>19.0</v>
      </c>
      <c r="B41" s="12">
        <f t="shared" ref="B41:B42" si="19">$C$2+7*(19-1)</f>
        <v>46320</v>
      </c>
      <c r="C41" s="23" t="s">
        <v>352</v>
      </c>
      <c r="D41" s="6" t="s">
        <v>109</v>
      </c>
      <c r="E41" s="6" t="s">
        <v>148</v>
      </c>
      <c r="F41" s="6" t="s">
        <v>675</v>
      </c>
      <c r="G41" s="6" t="s">
        <v>678</v>
      </c>
      <c r="H41" s="6">
        <v>3.0</v>
      </c>
      <c r="I41" s="6" t="s">
        <v>167</v>
      </c>
      <c r="J41" s="6" t="s">
        <v>679</v>
      </c>
      <c r="K41" s="6" t="s">
        <v>465</v>
      </c>
      <c r="L41" s="6" t="s">
        <v>466</v>
      </c>
      <c r="M41" s="6" t="s">
        <v>680</v>
      </c>
      <c r="N41" s="14"/>
    </row>
    <row r="42" ht="15.75" customHeight="1">
      <c r="A42" s="6">
        <v>19.0</v>
      </c>
      <c r="B42" s="12">
        <f t="shared" si="19"/>
        <v>46320</v>
      </c>
      <c r="C42" s="23" t="s">
        <v>352</v>
      </c>
      <c r="D42" s="6" t="s">
        <v>118</v>
      </c>
      <c r="E42" s="6" t="s">
        <v>148</v>
      </c>
      <c r="F42" s="6" t="s">
        <v>687</v>
      </c>
      <c r="G42" s="6"/>
      <c r="H42" s="6"/>
      <c r="I42" s="6" t="s">
        <v>204</v>
      </c>
      <c r="J42" s="6" t="s">
        <v>688</v>
      </c>
      <c r="K42" s="6" t="s">
        <v>472</v>
      </c>
      <c r="L42" s="6"/>
      <c r="M42" s="6" t="s">
        <v>521</v>
      </c>
      <c r="N42" s="14"/>
    </row>
    <row r="43" ht="15.75" customHeight="1">
      <c r="A43" s="6">
        <v>20.0</v>
      </c>
      <c r="B43" s="12">
        <f t="shared" ref="B43:B44" si="20">$C$2+7*(20-1)</f>
        <v>46327</v>
      </c>
      <c r="C43" s="23" t="s">
        <v>352</v>
      </c>
      <c r="D43" s="6" t="s">
        <v>109</v>
      </c>
      <c r="E43" s="6" t="s">
        <v>148</v>
      </c>
      <c r="F43" s="6" t="s">
        <v>701</v>
      </c>
      <c r="G43" s="6" t="s">
        <v>703</v>
      </c>
      <c r="H43" s="6">
        <v>2.0</v>
      </c>
      <c r="I43" s="6" t="s">
        <v>175</v>
      </c>
      <c r="J43" s="6"/>
      <c r="K43" s="6" t="s">
        <v>465</v>
      </c>
      <c r="L43" s="6" t="s">
        <v>486</v>
      </c>
      <c r="M43" s="6" t="s">
        <v>705</v>
      </c>
      <c r="N43" s="14"/>
    </row>
    <row r="44" ht="15.75" customHeight="1">
      <c r="A44" s="6">
        <v>20.0</v>
      </c>
      <c r="B44" s="12">
        <f t="shared" si="20"/>
        <v>46327</v>
      </c>
      <c r="C44" s="23" t="s">
        <v>352</v>
      </c>
      <c r="D44" s="6" t="s">
        <v>118</v>
      </c>
      <c r="E44" s="6" t="s">
        <v>148</v>
      </c>
      <c r="F44" s="6" t="s">
        <v>710</v>
      </c>
      <c r="G44" s="6"/>
      <c r="H44" s="6"/>
      <c r="I44" s="6" t="s">
        <v>204</v>
      </c>
      <c r="J44" s="6" t="s">
        <v>713</v>
      </c>
      <c r="K44" s="6" t="s">
        <v>472</v>
      </c>
      <c r="L44" s="6"/>
      <c r="M44" s="6" t="s">
        <v>715</v>
      </c>
      <c r="N44" s="14"/>
    </row>
    <row r="45" ht="15.75" customHeight="1">
      <c r="A45" s="6">
        <v>21.0</v>
      </c>
      <c r="B45" s="12">
        <f t="shared" ref="B45:B46" si="21">$C$2+7*(21-1)</f>
        <v>46334</v>
      </c>
      <c r="C45" s="23" t="s">
        <v>352</v>
      </c>
      <c r="D45" s="6" t="s">
        <v>109</v>
      </c>
      <c r="E45" s="6" t="s">
        <v>148</v>
      </c>
      <c r="F45" s="6" t="s">
        <v>719</v>
      </c>
      <c r="G45" s="6"/>
      <c r="H45" s="6"/>
      <c r="I45" s="6" t="s">
        <v>204</v>
      </c>
      <c r="J45" s="6"/>
      <c r="K45" s="6" t="s">
        <v>465</v>
      </c>
      <c r="L45" s="6"/>
      <c r="M45" s="6" t="s">
        <v>721</v>
      </c>
      <c r="N45" s="14"/>
    </row>
    <row r="46" ht="15.75" customHeight="1">
      <c r="A46" s="6">
        <v>21.0</v>
      </c>
      <c r="B46" s="12">
        <f t="shared" si="21"/>
        <v>46334</v>
      </c>
      <c r="C46" s="23" t="s">
        <v>352</v>
      </c>
      <c r="D46" s="18" t="s">
        <v>236</v>
      </c>
      <c r="E46" s="6" t="s">
        <v>148</v>
      </c>
      <c r="F46" s="20" t="s">
        <v>729</v>
      </c>
      <c r="G46" s="6"/>
      <c r="H46" s="6"/>
      <c r="I46" s="21" t="s">
        <v>288</v>
      </c>
      <c r="J46" s="6" t="s">
        <v>731</v>
      </c>
      <c r="K46" s="6" t="s">
        <v>465</v>
      </c>
      <c r="L46" s="6" t="s">
        <v>733</v>
      </c>
      <c r="M46" s="6" t="s">
        <v>734</v>
      </c>
      <c r="N46" s="14"/>
    </row>
    <row r="47" ht="15.75" customHeight="1">
      <c r="A47" s="6">
        <v>22.0</v>
      </c>
      <c r="B47" s="12">
        <f t="shared" ref="B47:B48" si="22">$C$2+7*(22-1)</f>
        <v>46341</v>
      </c>
      <c r="C47" s="23" t="s">
        <v>352</v>
      </c>
      <c r="D47" s="6" t="s">
        <v>109</v>
      </c>
      <c r="E47" s="6" t="s">
        <v>148</v>
      </c>
      <c r="F47" s="6" t="s">
        <v>742</v>
      </c>
      <c r="G47" s="6" t="s">
        <v>743</v>
      </c>
      <c r="H47" s="6">
        <v>4.0</v>
      </c>
      <c r="I47" s="6" t="s">
        <v>167</v>
      </c>
      <c r="J47" s="6"/>
      <c r="K47" s="6" t="s">
        <v>465</v>
      </c>
      <c r="L47" s="6" t="s">
        <v>745</v>
      </c>
      <c r="M47" s="6" t="s">
        <v>747</v>
      </c>
      <c r="N47" s="14"/>
    </row>
    <row r="48" ht="15.75" customHeight="1">
      <c r="A48" s="6">
        <v>22.0</v>
      </c>
      <c r="B48" s="12">
        <f t="shared" si="22"/>
        <v>46341</v>
      </c>
      <c r="C48" s="23" t="s">
        <v>352</v>
      </c>
      <c r="D48" s="6" t="s">
        <v>118</v>
      </c>
      <c r="E48" s="6" t="s">
        <v>148</v>
      </c>
      <c r="F48" s="19" t="s">
        <v>752</v>
      </c>
      <c r="G48" s="6"/>
      <c r="H48" s="6"/>
      <c r="I48" s="19" t="s">
        <v>280</v>
      </c>
      <c r="J48" s="6"/>
      <c r="K48" s="6" t="s">
        <v>472</v>
      </c>
      <c r="L48" s="6" t="s">
        <v>754</v>
      </c>
      <c r="M48" s="6" t="s">
        <v>755</v>
      </c>
      <c r="N48" s="14"/>
    </row>
    <row r="49" ht="15.75" customHeight="1">
      <c r="A49" s="6">
        <v>23.0</v>
      </c>
      <c r="B49" s="12">
        <f t="shared" ref="B49:B50" si="23">$C$2+7*(23-1)</f>
        <v>46348</v>
      </c>
      <c r="C49" s="23" t="s">
        <v>352</v>
      </c>
      <c r="D49" s="6" t="s">
        <v>109</v>
      </c>
      <c r="E49" s="6" t="s">
        <v>148</v>
      </c>
      <c r="F49" s="6" t="s">
        <v>761</v>
      </c>
      <c r="G49" s="6" t="s">
        <v>762</v>
      </c>
      <c r="H49" s="6">
        <v>3.0</v>
      </c>
      <c r="I49" s="6" t="s">
        <v>175</v>
      </c>
      <c r="J49" s="6"/>
      <c r="K49" s="6" t="s">
        <v>465</v>
      </c>
      <c r="L49" s="6"/>
      <c r="M49" s="6" t="s">
        <v>747</v>
      </c>
      <c r="N49" s="14"/>
    </row>
    <row r="50" ht="15.75" customHeight="1">
      <c r="A50" s="6">
        <v>23.0</v>
      </c>
      <c r="B50" s="12">
        <f t="shared" si="23"/>
        <v>46348</v>
      </c>
      <c r="C50" s="23" t="s">
        <v>352</v>
      </c>
      <c r="D50" s="6" t="s">
        <v>118</v>
      </c>
      <c r="E50" s="6" t="s">
        <v>148</v>
      </c>
      <c r="F50" s="6" t="s">
        <v>768</v>
      </c>
      <c r="G50" s="6" t="s">
        <v>769</v>
      </c>
      <c r="H50" s="6">
        <v>2.0</v>
      </c>
      <c r="I50" s="6" t="s">
        <v>175</v>
      </c>
      <c r="J50" s="6" t="s">
        <v>771</v>
      </c>
      <c r="K50" s="6" t="s">
        <v>472</v>
      </c>
      <c r="L50" s="6" t="s">
        <v>772</v>
      </c>
      <c r="M50" s="6" t="s">
        <v>774</v>
      </c>
      <c r="N50" s="14"/>
    </row>
    <row r="51" ht="15.75" customHeight="1">
      <c r="A51" s="6">
        <v>24.0</v>
      </c>
      <c r="B51" s="12">
        <f t="shared" ref="B51:B52" si="24">$C$2+7*(24-1)</f>
        <v>46355</v>
      </c>
      <c r="C51" s="23" t="s">
        <v>352</v>
      </c>
      <c r="D51" s="6" t="s">
        <v>109</v>
      </c>
      <c r="E51" s="6" t="s">
        <v>148</v>
      </c>
      <c r="F51" s="19" t="s">
        <v>441</v>
      </c>
      <c r="G51" s="6"/>
      <c r="H51" s="6"/>
      <c r="I51" s="19" t="s">
        <v>280</v>
      </c>
      <c r="J51" s="6"/>
      <c r="K51" s="6" t="s">
        <v>465</v>
      </c>
      <c r="L51" s="6"/>
      <c r="M51" s="6" t="s">
        <v>747</v>
      </c>
      <c r="N51" s="14"/>
    </row>
    <row r="52" ht="15.75" customHeight="1">
      <c r="A52" s="6">
        <v>24.0</v>
      </c>
      <c r="B52" s="12">
        <f t="shared" si="24"/>
        <v>46355</v>
      </c>
      <c r="C52" s="23" t="s">
        <v>352</v>
      </c>
      <c r="D52" s="6" t="s">
        <v>118</v>
      </c>
      <c r="E52" s="6" t="s">
        <v>148</v>
      </c>
      <c r="F52" s="19" t="s">
        <v>590</v>
      </c>
      <c r="G52" s="6"/>
      <c r="H52" s="6"/>
      <c r="I52" s="19" t="s">
        <v>280</v>
      </c>
      <c r="J52" s="6"/>
      <c r="K52" s="6" t="s">
        <v>472</v>
      </c>
      <c r="L52" s="6"/>
      <c r="M52" s="6" t="s">
        <v>774</v>
      </c>
      <c r="N52" s="14"/>
    </row>
    <row r="53" ht="15.75" customHeight="1">
      <c r="A53" s="6">
        <v>25.0</v>
      </c>
      <c r="B53" s="12">
        <f t="shared" ref="B53:B54" si="25">$C$2+7*(25-1)</f>
        <v>46362</v>
      </c>
      <c r="C53" s="23" t="s">
        <v>352</v>
      </c>
      <c r="D53" s="6" t="s">
        <v>109</v>
      </c>
      <c r="E53" s="6" t="s">
        <v>148</v>
      </c>
      <c r="F53" s="15" t="s">
        <v>455</v>
      </c>
      <c r="G53" s="6"/>
      <c r="H53" s="6"/>
      <c r="I53" s="16" t="s">
        <v>46</v>
      </c>
      <c r="J53" s="6"/>
      <c r="K53" s="6"/>
      <c r="L53" s="6"/>
      <c r="M53" s="6" t="s">
        <v>796</v>
      </c>
      <c r="N53" s="14"/>
    </row>
    <row r="54" ht="15.75" customHeight="1">
      <c r="A54" s="6">
        <v>25.0</v>
      </c>
      <c r="B54" s="12">
        <f t="shared" si="25"/>
        <v>46362</v>
      </c>
      <c r="C54" s="23" t="s">
        <v>352</v>
      </c>
      <c r="D54" s="6" t="s">
        <v>118</v>
      </c>
      <c r="E54" s="6" t="s">
        <v>148</v>
      </c>
      <c r="F54" s="22" t="s">
        <v>322</v>
      </c>
      <c r="G54" s="6"/>
      <c r="H54" s="6"/>
      <c r="I54" s="22" t="s">
        <v>326</v>
      </c>
      <c r="J54" s="6"/>
      <c r="K54" s="6"/>
      <c r="L54" s="6" t="s">
        <v>327</v>
      </c>
      <c r="M54" s="6" t="s">
        <v>799</v>
      </c>
      <c r="N54" s="14"/>
    </row>
    <row r="55" ht="15.75" customHeight="1">
      <c r="A55" s="6">
        <v>26.0</v>
      </c>
      <c r="B55" s="12">
        <f t="shared" ref="B55:B56" si="26">$C$2+7*(26-1)</f>
        <v>46369</v>
      </c>
      <c r="C55" s="23" t="s">
        <v>352</v>
      </c>
      <c r="D55" s="6" t="s">
        <v>109</v>
      </c>
      <c r="E55" s="6" t="s">
        <v>148</v>
      </c>
      <c r="F55" s="15" t="s">
        <v>476</v>
      </c>
      <c r="G55" s="6"/>
      <c r="H55" s="6"/>
      <c r="I55" s="16" t="s">
        <v>46</v>
      </c>
      <c r="J55" s="6"/>
      <c r="K55" s="6"/>
      <c r="L55" s="6" t="s">
        <v>339</v>
      </c>
      <c r="M55" s="6" t="s">
        <v>808</v>
      </c>
      <c r="N55" s="14"/>
    </row>
    <row r="56" ht="15.75" customHeight="1">
      <c r="A56" s="6">
        <v>26.0</v>
      </c>
      <c r="B56" s="12">
        <f t="shared" si="26"/>
        <v>46369</v>
      </c>
      <c r="C56" s="23" t="s">
        <v>352</v>
      </c>
      <c r="D56" s="6" t="s">
        <v>118</v>
      </c>
      <c r="E56" s="6" t="s">
        <v>148</v>
      </c>
      <c r="F56" s="22" t="s">
        <v>342</v>
      </c>
      <c r="G56" s="6"/>
      <c r="H56" s="6"/>
      <c r="I56" s="22" t="s">
        <v>326</v>
      </c>
      <c r="J56" s="6"/>
      <c r="K56" s="6"/>
      <c r="L56" s="6" t="s">
        <v>327</v>
      </c>
      <c r="M56" s="6" t="s">
        <v>814</v>
      </c>
      <c r="N56" s="14"/>
    </row>
    <row r="57" ht="15.75" customHeight="1">
      <c r="A57" s="6">
        <v>27.0</v>
      </c>
      <c r="B57" s="12">
        <f t="shared" ref="B57:B58" si="27">$C$2+7*(27-1)</f>
        <v>46376</v>
      </c>
      <c r="C57" s="23" t="s">
        <v>352</v>
      </c>
      <c r="D57" s="6" t="s">
        <v>109</v>
      </c>
      <c r="E57" s="6" t="s">
        <v>148</v>
      </c>
      <c r="F57" s="19" t="s">
        <v>492</v>
      </c>
      <c r="G57" s="6"/>
      <c r="H57" s="6"/>
      <c r="I57" s="19" t="s">
        <v>280</v>
      </c>
      <c r="J57" s="6"/>
      <c r="K57" s="6" t="s">
        <v>465</v>
      </c>
      <c r="L57" s="6"/>
      <c r="M57" s="6" t="s">
        <v>829</v>
      </c>
      <c r="N57" s="14"/>
    </row>
    <row r="58" ht="15.75" customHeight="1">
      <c r="A58" s="6">
        <v>27.0</v>
      </c>
      <c r="B58" s="12">
        <f t="shared" si="27"/>
        <v>46376</v>
      </c>
      <c r="C58" s="23" t="s">
        <v>352</v>
      </c>
      <c r="D58" s="6" t="s">
        <v>118</v>
      </c>
      <c r="E58" s="6" t="s">
        <v>148</v>
      </c>
      <c r="F58" s="19" t="s">
        <v>501</v>
      </c>
      <c r="G58" s="6"/>
      <c r="H58" s="6"/>
      <c r="I58" s="19" t="s">
        <v>280</v>
      </c>
      <c r="J58" s="6"/>
      <c r="K58" s="6" t="s">
        <v>472</v>
      </c>
      <c r="L58" s="6"/>
      <c r="M58" s="6" t="s">
        <v>829</v>
      </c>
      <c r="N58" s="14"/>
    </row>
    <row r="59" ht="15.75" customHeight="1">
      <c r="A59" s="6">
        <v>28.0</v>
      </c>
      <c r="B59" s="12">
        <f t="shared" ref="B59:B60" si="28">$C$2+7*(28-1)</f>
        <v>46383</v>
      </c>
      <c r="C59" s="24" t="s">
        <v>511</v>
      </c>
      <c r="D59" s="6" t="s">
        <v>109</v>
      </c>
      <c r="E59" s="6" t="s">
        <v>148</v>
      </c>
      <c r="F59" s="6" t="s">
        <v>843</v>
      </c>
      <c r="G59" s="6" t="s">
        <v>844</v>
      </c>
      <c r="H59" s="6">
        <v>2.0</v>
      </c>
      <c r="I59" s="6" t="s">
        <v>175</v>
      </c>
      <c r="J59" s="6"/>
      <c r="K59" s="6" t="s">
        <v>465</v>
      </c>
      <c r="L59" s="6"/>
      <c r="M59" s="6" t="s">
        <v>845</v>
      </c>
      <c r="N59" s="14"/>
    </row>
    <row r="60" ht="15.75" customHeight="1">
      <c r="A60" s="6">
        <v>28.0</v>
      </c>
      <c r="B60" s="12">
        <f t="shared" si="28"/>
        <v>46383</v>
      </c>
      <c r="C60" s="24" t="s">
        <v>511</v>
      </c>
      <c r="D60" s="6" t="s">
        <v>118</v>
      </c>
      <c r="E60" s="6" t="s">
        <v>148</v>
      </c>
      <c r="F60" s="6" t="s">
        <v>848</v>
      </c>
      <c r="G60" s="6" t="s">
        <v>849</v>
      </c>
      <c r="H60" s="6">
        <v>3.0</v>
      </c>
      <c r="I60" s="6" t="s">
        <v>175</v>
      </c>
      <c r="J60" s="6"/>
      <c r="K60" s="6" t="s">
        <v>472</v>
      </c>
      <c r="L60" s="6"/>
      <c r="M60" s="6" t="s">
        <v>852</v>
      </c>
      <c r="N60" s="14"/>
    </row>
    <row r="61" ht="15.75" customHeight="1">
      <c r="A61" s="6">
        <v>29.0</v>
      </c>
      <c r="B61" s="12">
        <f t="shared" ref="B61:B62" si="29">$C$2+7*(29-1)</f>
        <v>46390</v>
      </c>
      <c r="C61" s="24" t="s">
        <v>511</v>
      </c>
      <c r="D61" s="6" t="s">
        <v>109</v>
      </c>
      <c r="E61" s="6" t="s">
        <v>148</v>
      </c>
      <c r="F61" s="6" t="s">
        <v>856</v>
      </c>
      <c r="G61" s="6"/>
      <c r="H61" s="6"/>
      <c r="I61" s="6" t="s">
        <v>204</v>
      </c>
      <c r="J61" s="6" t="s">
        <v>858</v>
      </c>
      <c r="K61" s="6" t="s">
        <v>465</v>
      </c>
      <c r="L61" s="6" t="s">
        <v>859</v>
      </c>
      <c r="M61" s="6" t="s">
        <v>861</v>
      </c>
      <c r="N61" s="14"/>
    </row>
    <row r="62" ht="15.75" customHeight="1">
      <c r="A62" s="6">
        <v>29.0</v>
      </c>
      <c r="B62" s="12">
        <f t="shared" si="29"/>
        <v>46390</v>
      </c>
      <c r="C62" s="24" t="s">
        <v>511</v>
      </c>
      <c r="D62" s="6" t="s">
        <v>118</v>
      </c>
      <c r="E62" s="6" t="s">
        <v>148</v>
      </c>
      <c r="F62" s="6" t="s">
        <v>864</v>
      </c>
      <c r="G62" s="6"/>
      <c r="H62" s="6"/>
      <c r="I62" s="6" t="s">
        <v>204</v>
      </c>
      <c r="J62" s="6"/>
      <c r="K62" s="6" t="s">
        <v>472</v>
      </c>
      <c r="L62" s="6" t="s">
        <v>249</v>
      </c>
      <c r="M62" s="6" t="s">
        <v>867</v>
      </c>
      <c r="N62" s="14"/>
    </row>
    <row r="63" ht="15.75" customHeight="1">
      <c r="A63" s="6">
        <v>30.0</v>
      </c>
      <c r="B63" s="12">
        <f t="shared" ref="B63:B64" si="30">$C$2+7*(30-1)</f>
        <v>46397</v>
      </c>
      <c r="C63" s="24" t="s">
        <v>511</v>
      </c>
      <c r="D63" s="6" t="s">
        <v>109</v>
      </c>
      <c r="E63" s="6" t="s">
        <v>148</v>
      </c>
      <c r="F63" s="6" t="s">
        <v>869</v>
      </c>
      <c r="G63" s="6" t="s">
        <v>870</v>
      </c>
      <c r="H63" s="6">
        <v>2.0</v>
      </c>
      <c r="I63" s="6" t="s">
        <v>175</v>
      </c>
      <c r="J63" s="6" t="s">
        <v>871</v>
      </c>
      <c r="K63" s="6" t="s">
        <v>465</v>
      </c>
      <c r="L63" s="6"/>
      <c r="M63" s="6" t="s">
        <v>873</v>
      </c>
      <c r="N63" s="14"/>
    </row>
    <row r="64" ht="15.75" customHeight="1">
      <c r="A64" s="6">
        <v>30.0</v>
      </c>
      <c r="B64" s="12">
        <f t="shared" si="30"/>
        <v>46397</v>
      </c>
      <c r="C64" s="24" t="s">
        <v>511</v>
      </c>
      <c r="D64" s="6" t="s">
        <v>118</v>
      </c>
      <c r="E64" s="6" t="s">
        <v>148</v>
      </c>
      <c r="F64" s="6" t="s">
        <v>877</v>
      </c>
      <c r="G64" s="6" t="s">
        <v>878</v>
      </c>
      <c r="H64" s="6">
        <v>2.0</v>
      </c>
      <c r="I64" s="6" t="s">
        <v>175</v>
      </c>
      <c r="J64" s="6"/>
      <c r="K64" s="6" t="s">
        <v>472</v>
      </c>
      <c r="L64" s="6"/>
      <c r="M64" s="6" t="s">
        <v>879</v>
      </c>
      <c r="N64" s="14"/>
    </row>
    <row r="65" ht="15.75" customHeight="1">
      <c r="A65" s="6">
        <v>31.0</v>
      </c>
      <c r="B65" s="12">
        <f t="shared" ref="B65:B66" si="31">$C$2+7*(31-1)</f>
        <v>46404</v>
      </c>
      <c r="C65" s="24" t="s">
        <v>511</v>
      </c>
      <c r="D65" s="6" t="s">
        <v>109</v>
      </c>
      <c r="E65" s="6" t="s">
        <v>148</v>
      </c>
      <c r="F65" s="6" t="s">
        <v>881</v>
      </c>
      <c r="G65" s="6" t="s">
        <v>883</v>
      </c>
      <c r="H65" s="6">
        <v>2.0</v>
      </c>
      <c r="I65" s="6" t="s">
        <v>175</v>
      </c>
      <c r="J65" s="6" t="s">
        <v>884</v>
      </c>
      <c r="K65" s="6" t="s">
        <v>465</v>
      </c>
      <c r="L65" s="6"/>
      <c r="M65" s="6" t="s">
        <v>886</v>
      </c>
      <c r="N65" s="14"/>
    </row>
    <row r="66" ht="15.75" customHeight="1">
      <c r="A66" s="6">
        <v>31.0</v>
      </c>
      <c r="B66" s="12">
        <f t="shared" si="31"/>
        <v>46404</v>
      </c>
      <c r="C66" s="24" t="s">
        <v>511</v>
      </c>
      <c r="D66" s="6" t="s">
        <v>118</v>
      </c>
      <c r="E66" s="6" t="s">
        <v>148</v>
      </c>
      <c r="F66" s="6" t="s">
        <v>888</v>
      </c>
      <c r="G66" s="6" t="s">
        <v>889</v>
      </c>
      <c r="H66" s="6">
        <v>3.0</v>
      </c>
      <c r="I66" s="6" t="s">
        <v>167</v>
      </c>
      <c r="J66" s="6"/>
      <c r="K66" s="6" t="s">
        <v>472</v>
      </c>
      <c r="L66" s="6" t="s">
        <v>890</v>
      </c>
      <c r="M66" s="6" t="s">
        <v>891</v>
      </c>
      <c r="N66" s="14"/>
    </row>
    <row r="67" ht="15.75" customHeight="1">
      <c r="A67" s="6">
        <v>32.0</v>
      </c>
      <c r="B67" s="12">
        <f t="shared" ref="B67:B68" si="32">$C$2+7*(32-1)</f>
        <v>46411</v>
      </c>
      <c r="C67" s="24" t="s">
        <v>511</v>
      </c>
      <c r="D67" s="6" t="s">
        <v>109</v>
      </c>
      <c r="E67" s="6" t="s">
        <v>148</v>
      </c>
      <c r="F67" s="6" t="s">
        <v>894</v>
      </c>
      <c r="G67" s="6" t="s">
        <v>895</v>
      </c>
      <c r="H67" s="6">
        <v>4.0</v>
      </c>
      <c r="I67" s="6" t="s">
        <v>167</v>
      </c>
      <c r="J67" s="6" t="s">
        <v>898</v>
      </c>
      <c r="K67" s="6" t="s">
        <v>465</v>
      </c>
      <c r="L67" s="6" t="s">
        <v>900</v>
      </c>
      <c r="M67" s="6" t="s">
        <v>886</v>
      </c>
      <c r="N67" s="14"/>
    </row>
    <row r="68" ht="15.75" customHeight="1">
      <c r="A68" s="6">
        <v>32.0</v>
      </c>
      <c r="B68" s="12">
        <f t="shared" si="32"/>
        <v>46411</v>
      </c>
      <c r="C68" s="24" t="s">
        <v>511</v>
      </c>
      <c r="D68" s="18" t="s">
        <v>236</v>
      </c>
      <c r="E68" s="6" t="s">
        <v>148</v>
      </c>
      <c r="F68" s="6" t="s">
        <v>904</v>
      </c>
      <c r="G68" s="6"/>
      <c r="H68" s="6"/>
      <c r="I68" s="6" t="s">
        <v>204</v>
      </c>
      <c r="J68" s="6"/>
      <c r="K68" s="6" t="s">
        <v>465</v>
      </c>
      <c r="L68" s="6" t="s">
        <v>906</v>
      </c>
      <c r="M68" s="6" t="s">
        <v>907</v>
      </c>
      <c r="N68" s="14"/>
    </row>
    <row r="69" ht="15.75" customHeight="1">
      <c r="A69" s="6">
        <v>33.0</v>
      </c>
      <c r="B69" s="12">
        <f t="shared" ref="B69:B70" si="33">$C$2+7*(33-1)</f>
        <v>46418</v>
      </c>
      <c r="C69" s="24" t="s">
        <v>511</v>
      </c>
      <c r="D69" s="6" t="s">
        <v>109</v>
      </c>
      <c r="E69" s="6" t="s">
        <v>148</v>
      </c>
      <c r="F69" s="6" t="s">
        <v>913</v>
      </c>
      <c r="G69" s="6" t="s">
        <v>914</v>
      </c>
      <c r="H69" s="6">
        <v>2.0</v>
      </c>
      <c r="I69" s="6" t="s">
        <v>175</v>
      </c>
      <c r="J69" s="6"/>
      <c r="K69" s="6" t="s">
        <v>465</v>
      </c>
      <c r="L69" s="6" t="s">
        <v>917</v>
      </c>
      <c r="M69" s="6" t="s">
        <v>918</v>
      </c>
      <c r="N69" s="14"/>
    </row>
    <row r="70" ht="15.75" customHeight="1">
      <c r="A70" s="6">
        <v>33.0</v>
      </c>
      <c r="B70" s="12">
        <f t="shared" si="33"/>
        <v>46418</v>
      </c>
      <c r="C70" s="24" t="s">
        <v>511</v>
      </c>
      <c r="D70" s="6" t="s">
        <v>118</v>
      </c>
      <c r="E70" s="6" t="s">
        <v>148</v>
      </c>
      <c r="F70" s="6" t="s">
        <v>920</v>
      </c>
      <c r="G70" s="6"/>
      <c r="H70" s="6"/>
      <c r="I70" s="6" t="s">
        <v>204</v>
      </c>
      <c r="J70" s="6" t="s">
        <v>921</v>
      </c>
      <c r="K70" s="6" t="s">
        <v>472</v>
      </c>
      <c r="L70" s="6" t="s">
        <v>249</v>
      </c>
      <c r="M70" s="6" t="s">
        <v>922</v>
      </c>
      <c r="N70" s="14"/>
    </row>
    <row r="71" ht="15.75" customHeight="1">
      <c r="A71" s="6">
        <v>34.0</v>
      </c>
      <c r="B71" s="12">
        <f>$C$2+7*(34-1)</f>
        <v>46425</v>
      </c>
      <c r="C71" s="24" t="s">
        <v>511</v>
      </c>
      <c r="D71" s="6" t="s">
        <v>156</v>
      </c>
      <c r="E71" s="6"/>
      <c r="F71" s="25" t="s">
        <v>626</v>
      </c>
      <c r="G71" s="6"/>
      <c r="H71" s="6"/>
      <c r="I71" s="25" t="s">
        <v>630</v>
      </c>
      <c r="J71" s="6"/>
      <c r="K71" s="6"/>
      <c r="L71" s="6" t="s">
        <v>632</v>
      </c>
      <c r="M71" s="6"/>
      <c r="N71" s="14"/>
    </row>
    <row r="72" ht="15.75" customHeight="1">
      <c r="A72" s="6">
        <v>35.0</v>
      </c>
      <c r="B72" s="12">
        <f t="shared" ref="B72:B73" si="34">$C$2+7*(35-1)</f>
        <v>46432</v>
      </c>
      <c r="C72" s="24" t="s">
        <v>511</v>
      </c>
      <c r="D72" s="6" t="s">
        <v>109</v>
      </c>
      <c r="E72" s="6" t="s">
        <v>148</v>
      </c>
      <c r="F72" s="19" t="s">
        <v>770</v>
      </c>
      <c r="G72" s="6"/>
      <c r="H72" s="6"/>
      <c r="I72" s="19" t="s">
        <v>280</v>
      </c>
      <c r="J72" s="6"/>
      <c r="K72" s="6" t="s">
        <v>465</v>
      </c>
      <c r="L72" s="6"/>
      <c r="M72" s="6" t="s">
        <v>931</v>
      </c>
      <c r="N72" s="14"/>
    </row>
    <row r="73" ht="15.75" customHeight="1">
      <c r="A73" s="6">
        <v>35.0</v>
      </c>
      <c r="B73" s="12">
        <f t="shared" si="34"/>
        <v>46432</v>
      </c>
      <c r="C73" s="24" t="s">
        <v>511</v>
      </c>
      <c r="D73" s="18" t="s">
        <v>236</v>
      </c>
      <c r="E73" s="6" t="s">
        <v>148</v>
      </c>
      <c r="F73" s="20" t="s">
        <v>934</v>
      </c>
      <c r="G73" s="6"/>
      <c r="H73" s="6"/>
      <c r="I73" s="21" t="s">
        <v>288</v>
      </c>
      <c r="J73" s="6" t="s">
        <v>935</v>
      </c>
      <c r="K73" s="6" t="s">
        <v>465</v>
      </c>
      <c r="L73" s="6" t="s">
        <v>782</v>
      </c>
      <c r="M73" s="6"/>
      <c r="N73" s="14"/>
    </row>
    <row r="74" ht="15.75" customHeight="1">
      <c r="A74" s="6">
        <v>36.0</v>
      </c>
      <c r="B74" s="12">
        <f t="shared" ref="B74:B75" si="35">$C$2+7*(36-1)</f>
        <v>46439</v>
      </c>
      <c r="C74" s="24" t="s">
        <v>511</v>
      </c>
      <c r="D74" s="6" t="s">
        <v>109</v>
      </c>
      <c r="E74" s="6" t="s">
        <v>148</v>
      </c>
      <c r="F74" s="15" t="s">
        <v>657</v>
      </c>
      <c r="G74" s="6"/>
      <c r="H74" s="6"/>
      <c r="I74" s="16" t="s">
        <v>46</v>
      </c>
      <c r="J74" s="6"/>
      <c r="K74" s="6"/>
      <c r="L74" s="6"/>
      <c r="M74" s="6" t="s">
        <v>940</v>
      </c>
      <c r="N74" s="14"/>
    </row>
    <row r="75" ht="15.75" customHeight="1">
      <c r="A75" s="6">
        <v>36.0</v>
      </c>
      <c r="B75" s="12">
        <f t="shared" si="35"/>
        <v>46439</v>
      </c>
      <c r="C75" s="24" t="s">
        <v>511</v>
      </c>
      <c r="D75" s="6" t="s">
        <v>118</v>
      </c>
      <c r="E75" s="6" t="s">
        <v>148</v>
      </c>
      <c r="F75" s="22" t="s">
        <v>322</v>
      </c>
      <c r="G75" s="6"/>
      <c r="H75" s="6"/>
      <c r="I75" s="22" t="s">
        <v>326</v>
      </c>
      <c r="J75" s="6"/>
      <c r="K75" s="6"/>
      <c r="L75" s="6" t="s">
        <v>327</v>
      </c>
      <c r="M75" s="6"/>
      <c r="N75" s="14"/>
    </row>
    <row r="76" ht="15.75" customHeight="1">
      <c r="A76" s="6">
        <v>37.0</v>
      </c>
      <c r="B76" s="12">
        <f t="shared" ref="B76:B77" si="36">$C$2+7*(37-1)</f>
        <v>46446</v>
      </c>
      <c r="C76" s="24" t="s">
        <v>511</v>
      </c>
      <c r="D76" s="6" t="s">
        <v>109</v>
      </c>
      <c r="E76" s="6" t="s">
        <v>148</v>
      </c>
      <c r="F76" s="15" t="s">
        <v>674</v>
      </c>
      <c r="G76" s="6"/>
      <c r="H76" s="6"/>
      <c r="I76" s="16" t="s">
        <v>46</v>
      </c>
      <c r="J76" s="6"/>
      <c r="K76" s="6"/>
      <c r="L76" s="6" t="s">
        <v>339</v>
      </c>
      <c r="M76" s="6" t="s">
        <v>946</v>
      </c>
      <c r="N76" s="14"/>
    </row>
    <row r="77" ht="15.75" customHeight="1">
      <c r="A77" s="6">
        <v>37.0</v>
      </c>
      <c r="B77" s="12">
        <f t="shared" si="36"/>
        <v>46446</v>
      </c>
      <c r="C77" s="24" t="s">
        <v>511</v>
      </c>
      <c r="D77" s="6" t="s">
        <v>118</v>
      </c>
      <c r="E77" s="6" t="s">
        <v>148</v>
      </c>
      <c r="F77" s="22" t="s">
        <v>342</v>
      </c>
      <c r="G77" s="6"/>
      <c r="H77" s="6"/>
      <c r="I77" s="22" t="s">
        <v>326</v>
      </c>
      <c r="J77" s="6"/>
      <c r="K77" s="6"/>
      <c r="L77" s="6" t="s">
        <v>327</v>
      </c>
      <c r="M77" s="6" t="s">
        <v>922</v>
      </c>
      <c r="N77" s="14"/>
    </row>
    <row r="78" ht="15.75" customHeight="1">
      <c r="A78" s="6">
        <v>38.0</v>
      </c>
      <c r="B78" s="12">
        <f t="shared" ref="B78:B79" si="37">$C$2+7*(38-1)</f>
        <v>46453</v>
      </c>
      <c r="C78" s="26" t="s">
        <v>693</v>
      </c>
      <c r="D78" s="6" t="s">
        <v>109</v>
      </c>
      <c r="E78" s="6" t="s">
        <v>148</v>
      </c>
      <c r="F78" s="6" t="s">
        <v>950</v>
      </c>
      <c r="G78" s="6" t="s">
        <v>951</v>
      </c>
      <c r="H78" s="6">
        <v>6.0</v>
      </c>
      <c r="I78" s="6" t="s">
        <v>167</v>
      </c>
      <c r="J78" s="6" t="s">
        <v>952</v>
      </c>
      <c r="K78" s="6" t="s">
        <v>465</v>
      </c>
      <c r="L78" s="6" t="s">
        <v>953</v>
      </c>
      <c r="M78" s="6" t="s">
        <v>954</v>
      </c>
      <c r="N78" s="14"/>
    </row>
    <row r="79" ht="15.75" customHeight="1">
      <c r="A79" s="6">
        <v>38.0</v>
      </c>
      <c r="B79" s="12">
        <f t="shared" si="37"/>
        <v>46453</v>
      </c>
      <c r="C79" s="26" t="s">
        <v>693</v>
      </c>
      <c r="D79" s="6" t="s">
        <v>118</v>
      </c>
      <c r="E79" s="6" t="s">
        <v>148</v>
      </c>
      <c r="F79" s="6" t="s">
        <v>955</v>
      </c>
      <c r="G79" s="6" t="s">
        <v>956</v>
      </c>
      <c r="H79" s="6">
        <v>4.0</v>
      </c>
      <c r="I79" s="6" t="s">
        <v>167</v>
      </c>
      <c r="J79" s="6" t="s">
        <v>957</v>
      </c>
      <c r="K79" s="6" t="s">
        <v>472</v>
      </c>
      <c r="L79" s="6" t="s">
        <v>958</v>
      </c>
      <c r="M79" s="6" t="s">
        <v>940</v>
      </c>
      <c r="N79" s="14"/>
    </row>
    <row r="80" ht="15.75" customHeight="1">
      <c r="A80" s="6">
        <v>39.0</v>
      </c>
      <c r="B80" s="12">
        <f t="shared" ref="B80:B81" si="38">$C$2+7*(39-1)</f>
        <v>46460</v>
      </c>
      <c r="C80" s="26" t="s">
        <v>693</v>
      </c>
      <c r="D80" s="6" t="s">
        <v>109</v>
      </c>
      <c r="E80" s="6" t="s">
        <v>148</v>
      </c>
      <c r="F80" s="6" t="s">
        <v>962</v>
      </c>
      <c r="G80" s="6"/>
      <c r="H80" s="6"/>
      <c r="I80" s="6" t="s">
        <v>204</v>
      </c>
      <c r="J80" s="6" t="s">
        <v>964</v>
      </c>
      <c r="K80" s="6" t="s">
        <v>465</v>
      </c>
      <c r="L80" s="6"/>
      <c r="M80" s="6" t="s">
        <v>965</v>
      </c>
      <c r="N80" s="14"/>
    </row>
    <row r="81" ht="15.75" customHeight="1">
      <c r="A81" s="6">
        <v>39.0</v>
      </c>
      <c r="B81" s="12">
        <f t="shared" si="38"/>
        <v>46460</v>
      </c>
      <c r="C81" s="26" t="s">
        <v>693</v>
      </c>
      <c r="D81" s="6" t="s">
        <v>118</v>
      </c>
      <c r="E81" s="6" t="s">
        <v>148</v>
      </c>
      <c r="F81" s="6" t="s">
        <v>966</v>
      </c>
      <c r="G81" s="6"/>
      <c r="H81" s="6"/>
      <c r="I81" s="6" t="s">
        <v>204</v>
      </c>
      <c r="J81" s="6" t="s">
        <v>967</v>
      </c>
      <c r="K81" s="6" t="s">
        <v>472</v>
      </c>
      <c r="L81" s="6"/>
      <c r="M81" s="6" t="s">
        <v>969</v>
      </c>
      <c r="N81" s="14"/>
    </row>
    <row r="82" ht="15.75" customHeight="1">
      <c r="A82" s="6">
        <v>40.0</v>
      </c>
      <c r="B82" s="12">
        <f t="shared" ref="B82:B83" si="39">$C$2+7*(40-1)</f>
        <v>46467</v>
      </c>
      <c r="C82" s="26" t="s">
        <v>693</v>
      </c>
      <c r="D82" s="6" t="s">
        <v>109</v>
      </c>
      <c r="E82" s="6" t="s">
        <v>148</v>
      </c>
      <c r="F82" s="6" t="s">
        <v>970</v>
      </c>
      <c r="G82" s="6"/>
      <c r="H82" s="6"/>
      <c r="I82" s="6" t="s">
        <v>204</v>
      </c>
      <c r="J82" s="6"/>
      <c r="K82" s="6" t="s">
        <v>465</v>
      </c>
      <c r="L82" s="6" t="s">
        <v>971</v>
      </c>
      <c r="M82" s="6" t="s">
        <v>972</v>
      </c>
      <c r="N82" s="14"/>
    </row>
    <row r="83" ht="15.75" customHeight="1">
      <c r="A83" s="6">
        <v>40.0</v>
      </c>
      <c r="B83" s="12">
        <f t="shared" si="39"/>
        <v>46467</v>
      </c>
      <c r="C83" s="26" t="s">
        <v>693</v>
      </c>
      <c r="D83" s="18" t="s">
        <v>236</v>
      </c>
      <c r="E83" s="6" t="s">
        <v>148</v>
      </c>
      <c r="F83" s="20" t="s">
        <v>973</v>
      </c>
      <c r="G83" s="6"/>
      <c r="H83" s="6"/>
      <c r="I83" s="21" t="s">
        <v>288</v>
      </c>
      <c r="J83" s="6" t="s">
        <v>975</v>
      </c>
      <c r="K83" s="6" t="s">
        <v>465</v>
      </c>
      <c r="L83" s="6" t="s">
        <v>976</v>
      </c>
      <c r="M83" s="6" t="s">
        <v>978</v>
      </c>
      <c r="N83" s="14"/>
    </row>
    <row r="84" ht="15.75" customHeight="1">
      <c r="A84" s="6">
        <v>41.0</v>
      </c>
      <c r="B84" s="12">
        <f t="shared" ref="B84:B85" si="40">$C$2+7*(41-1)</f>
        <v>46474</v>
      </c>
      <c r="C84" s="26" t="s">
        <v>693</v>
      </c>
      <c r="D84" s="6" t="s">
        <v>109</v>
      </c>
      <c r="E84" s="6" t="s">
        <v>148</v>
      </c>
      <c r="F84" s="19" t="s">
        <v>857</v>
      </c>
      <c r="G84" s="6"/>
      <c r="H84" s="6"/>
      <c r="I84" s="19" t="s">
        <v>280</v>
      </c>
      <c r="J84" s="6"/>
      <c r="K84" s="6" t="s">
        <v>465</v>
      </c>
      <c r="L84" s="6"/>
      <c r="M84" s="6" t="s">
        <v>980</v>
      </c>
      <c r="N84" s="14"/>
    </row>
    <row r="85" ht="15.75" customHeight="1">
      <c r="A85" s="6">
        <v>41.0</v>
      </c>
      <c r="B85" s="12">
        <f t="shared" si="40"/>
        <v>46474</v>
      </c>
      <c r="C85" s="26" t="s">
        <v>693</v>
      </c>
      <c r="D85" s="6" t="s">
        <v>118</v>
      </c>
      <c r="E85" s="6" t="s">
        <v>148</v>
      </c>
      <c r="F85" s="19" t="s">
        <v>863</v>
      </c>
      <c r="G85" s="6"/>
      <c r="H85" s="6"/>
      <c r="I85" s="19" t="s">
        <v>280</v>
      </c>
      <c r="J85" s="6"/>
      <c r="K85" s="6" t="s">
        <v>472</v>
      </c>
      <c r="L85" s="6" t="s">
        <v>983</v>
      </c>
      <c r="M85" s="6" t="s">
        <v>984</v>
      </c>
      <c r="N85" s="14"/>
    </row>
    <row r="86" ht="15.75" customHeight="1">
      <c r="A86" s="6">
        <v>42.0</v>
      </c>
      <c r="B86" s="12">
        <f t="shared" ref="B86:B87" si="41">$C$2+7*(42-1)</f>
        <v>46481</v>
      </c>
      <c r="C86" s="26" t="s">
        <v>693</v>
      </c>
      <c r="D86" s="6" t="s">
        <v>109</v>
      </c>
      <c r="E86" s="6" t="s">
        <v>148</v>
      </c>
      <c r="F86" s="19" t="s">
        <v>784</v>
      </c>
      <c r="G86" s="6"/>
      <c r="H86" s="6"/>
      <c r="I86" s="19" t="s">
        <v>280</v>
      </c>
      <c r="J86" s="6"/>
      <c r="K86" s="6" t="s">
        <v>465</v>
      </c>
      <c r="L86" s="6"/>
      <c r="M86" s="6" t="s">
        <v>989</v>
      </c>
      <c r="N86" s="14"/>
    </row>
    <row r="87" ht="15.75" customHeight="1">
      <c r="A87" s="6">
        <v>42.0</v>
      </c>
      <c r="B87" s="12">
        <f t="shared" si="41"/>
        <v>46481</v>
      </c>
      <c r="C87" s="26" t="s">
        <v>693</v>
      </c>
      <c r="D87" s="6" t="s">
        <v>118</v>
      </c>
      <c r="E87" s="6" t="s">
        <v>148</v>
      </c>
      <c r="F87" s="19" t="s">
        <v>875</v>
      </c>
      <c r="G87" s="6"/>
      <c r="H87" s="6"/>
      <c r="I87" s="19" t="s">
        <v>280</v>
      </c>
      <c r="J87" s="6"/>
      <c r="K87" s="6" t="s">
        <v>472</v>
      </c>
      <c r="L87" s="6"/>
      <c r="M87" s="6" t="s">
        <v>991</v>
      </c>
      <c r="N87" s="14"/>
    </row>
    <row r="88" ht="15.75" customHeight="1">
      <c r="A88" s="6">
        <v>43.0</v>
      </c>
      <c r="B88" s="12">
        <f t="shared" ref="B88:B89" si="42">$C$2+7*(43-1)</f>
        <v>46488</v>
      </c>
      <c r="C88" s="26" t="s">
        <v>693</v>
      </c>
      <c r="D88" s="6" t="s">
        <v>109</v>
      </c>
      <c r="E88" s="6" t="s">
        <v>148</v>
      </c>
      <c r="F88" s="15" t="s">
        <v>795</v>
      </c>
      <c r="G88" s="6"/>
      <c r="H88" s="6"/>
      <c r="I88" s="16" t="s">
        <v>46</v>
      </c>
      <c r="J88" s="6"/>
      <c r="K88" s="6"/>
      <c r="L88" s="6"/>
      <c r="M88" s="6" t="s">
        <v>994</v>
      </c>
      <c r="N88" s="14"/>
    </row>
    <row r="89" ht="15.75" customHeight="1">
      <c r="A89" s="6">
        <v>43.0</v>
      </c>
      <c r="B89" s="12">
        <f t="shared" si="42"/>
        <v>46488</v>
      </c>
      <c r="C89" s="26" t="s">
        <v>693</v>
      </c>
      <c r="D89" s="6" t="s">
        <v>118</v>
      </c>
      <c r="E89" s="6" t="s">
        <v>148</v>
      </c>
      <c r="F89" s="22" t="s">
        <v>322</v>
      </c>
      <c r="G89" s="6"/>
      <c r="H89" s="6"/>
      <c r="I89" s="22" t="s">
        <v>326</v>
      </c>
      <c r="J89" s="6"/>
      <c r="K89" s="6"/>
      <c r="L89" s="6" t="s">
        <v>327</v>
      </c>
      <c r="M89" s="6" t="s">
        <v>997</v>
      </c>
      <c r="N89" s="14"/>
    </row>
    <row r="90" ht="15.75" customHeight="1">
      <c r="A90" s="6">
        <v>44.0</v>
      </c>
      <c r="B90" s="12">
        <f t="shared" ref="B90:B91" si="43">$C$2+7*(44-1)</f>
        <v>46495</v>
      </c>
      <c r="C90" s="26" t="s">
        <v>693</v>
      </c>
      <c r="D90" s="6" t="s">
        <v>109</v>
      </c>
      <c r="E90" s="6" t="s">
        <v>148</v>
      </c>
      <c r="F90" s="15" t="s">
        <v>806</v>
      </c>
      <c r="G90" s="6"/>
      <c r="H90" s="6"/>
      <c r="I90" s="16" t="s">
        <v>46</v>
      </c>
      <c r="J90" s="6"/>
      <c r="K90" s="6"/>
      <c r="L90" s="6" t="s">
        <v>339</v>
      </c>
      <c r="M90" s="6" t="s">
        <v>999</v>
      </c>
      <c r="N90" s="14"/>
    </row>
    <row r="91" ht="15.75" customHeight="1">
      <c r="A91" s="6">
        <v>44.0</v>
      </c>
      <c r="B91" s="12">
        <f t="shared" si="43"/>
        <v>46495</v>
      </c>
      <c r="C91" s="26" t="s">
        <v>693</v>
      </c>
      <c r="D91" s="6" t="s">
        <v>118</v>
      </c>
      <c r="E91" s="6" t="s">
        <v>148</v>
      </c>
      <c r="F91" s="22" t="s">
        <v>342</v>
      </c>
      <c r="G91" s="6"/>
      <c r="H91" s="6"/>
      <c r="I91" s="22" t="s">
        <v>326</v>
      </c>
      <c r="J91" s="6"/>
      <c r="K91" s="6"/>
      <c r="L91" s="6" t="s">
        <v>327</v>
      </c>
      <c r="M91" s="6" t="s">
        <v>1001</v>
      </c>
      <c r="N91" s="14"/>
    </row>
    <row r="92" ht="15.75" customHeight="1">
      <c r="A92" s="6">
        <v>45.0</v>
      </c>
      <c r="B92" s="12">
        <f t="shared" ref="B92:B93" si="44">$C$2+7*(45-1)</f>
        <v>46502</v>
      </c>
      <c r="C92" s="26" t="s">
        <v>693</v>
      </c>
      <c r="D92" s="6" t="s">
        <v>109</v>
      </c>
      <c r="E92" s="6" t="s">
        <v>148</v>
      </c>
      <c r="F92" s="19" t="s">
        <v>821</v>
      </c>
      <c r="G92" s="6"/>
      <c r="H92" s="6"/>
      <c r="I92" s="19" t="s">
        <v>280</v>
      </c>
      <c r="J92" s="6"/>
      <c r="K92" s="6" t="s">
        <v>465</v>
      </c>
      <c r="L92" s="6"/>
      <c r="M92" s="6"/>
      <c r="N92" s="14"/>
    </row>
    <row r="93" ht="15.75" customHeight="1">
      <c r="A93" s="6">
        <v>45.0</v>
      </c>
      <c r="B93" s="12">
        <f t="shared" si="44"/>
        <v>46502</v>
      </c>
      <c r="C93" s="26" t="s">
        <v>693</v>
      </c>
      <c r="D93" s="6" t="s">
        <v>118</v>
      </c>
      <c r="E93" s="6" t="s">
        <v>148</v>
      </c>
      <c r="F93" s="19" t="s">
        <v>828</v>
      </c>
      <c r="G93" s="6"/>
      <c r="H93" s="6"/>
      <c r="I93" s="19" t="s">
        <v>280</v>
      </c>
      <c r="J93" s="6"/>
      <c r="K93" s="6" t="s">
        <v>472</v>
      </c>
      <c r="L93" s="6"/>
      <c r="M93" s="6"/>
      <c r="N93" s="14"/>
    </row>
    <row r="94" ht="15.75" customHeight="1">
      <c r="A94" s="6" t="s">
        <v>830</v>
      </c>
      <c r="B94" s="12">
        <f>$C$2+7*(46-1)</f>
        <v>46509</v>
      </c>
      <c r="C94" s="26" t="s">
        <v>693</v>
      </c>
      <c r="D94" s="6" t="s">
        <v>156</v>
      </c>
      <c r="E94" s="6"/>
      <c r="F94" s="6" t="s">
        <v>836</v>
      </c>
      <c r="G94" s="6"/>
      <c r="H94" s="6"/>
      <c r="I94" s="6" t="s">
        <v>837</v>
      </c>
      <c r="J94" s="6"/>
      <c r="K94" s="6"/>
      <c r="L94" s="6" t="s">
        <v>838</v>
      </c>
      <c r="M94" s="6"/>
      <c r="N94" s="14"/>
    </row>
    <row r="95" ht="15.75" customHeight="1">
      <c r="N95" s="14"/>
    </row>
    <row r="96" ht="15.75" customHeight="1">
      <c r="N96" s="14"/>
    </row>
    <row r="97" ht="15.75" customHeight="1">
      <c r="N97" s="14"/>
    </row>
    <row r="98" ht="15.75" customHeight="1">
      <c r="N98" s="14"/>
    </row>
    <row r="99" ht="15.75" customHeight="1">
      <c r="N99" s="14"/>
    </row>
    <row r="100" ht="15.75" customHeight="1">
      <c r="N100" s="14"/>
    </row>
    <row r="101" ht="15.75" customHeight="1">
      <c r="N101" s="27"/>
    </row>
    <row r="102" ht="15.75" customHeight="1">
      <c r="N102" s="27"/>
    </row>
    <row r="103" ht="15.75" customHeight="1">
      <c r="N103" s="27"/>
    </row>
    <row r="104" ht="15.75" customHeight="1">
      <c r="N104" s="27"/>
    </row>
    <row r="105" ht="15.75" customHeight="1">
      <c r="N105" s="27"/>
    </row>
    <row r="106" ht="15.75" customHeight="1">
      <c r="N106" s="27"/>
    </row>
    <row r="107" ht="15.75" customHeight="1">
      <c r="N107" s="27"/>
    </row>
    <row r="108" ht="15.75" customHeight="1">
      <c r="N108" s="27"/>
    </row>
    <row r="109" ht="15.75" customHeight="1">
      <c r="N109" s="27"/>
    </row>
    <row r="110" ht="15.75" customHeight="1">
      <c r="N110" s="27"/>
    </row>
    <row r="111" ht="15.75" customHeight="1">
      <c r="N111" s="27"/>
    </row>
    <row r="112" ht="15.75" customHeight="1">
      <c r="N112" s="27"/>
    </row>
    <row r="113" ht="15.75" customHeight="1">
      <c r="N113" s="27"/>
    </row>
    <row r="114" ht="15.75" customHeight="1">
      <c r="N114" s="27"/>
    </row>
    <row r="115" ht="15.75" customHeight="1">
      <c r="N115" s="27"/>
    </row>
    <row r="116" ht="15.75" customHeight="1">
      <c r="N116" s="27"/>
    </row>
    <row r="117" ht="15.75" customHeight="1">
      <c r="N117" s="27"/>
    </row>
    <row r="118" ht="15.75" customHeight="1">
      <c r="N118" s="27"/>
    </row>
    <row r="119" ht="15.75" customHeight="1">
      <c r="N119" s="27"/>
    </row>
    <row r="120" ht="15.75" customHeight="1">
      <c r="N120" s="27"/>
    </row>
    <row r="121" ht="15.75" customHeight="1">
      <c r="N121" s="27"/>
    </row>
    <row r="122" ht="15.75" customHeight="1">
      <c r="N122" s="27"/>
    </row>
    <row r="123" ht="15.75" customHeight="1">
      <c r="N123" s="27"/>
    </row>
    <row r="124" ht="15.75" customHeight="1">
      <c r="N124" s="27"/>
    </row>
    <row r="125" ht="15.75" customHeight="1">
      <c r="N125" s="27"/>
    </row>
    <row r="126" ht="15.75" customHeight="1">
      <c r="N126" s="27"/>
    </row>
    <row r="127" ht="15.75" customHeight="1">
      <c r="N127" s="27"/>
    </row>
    <row r="128" ht="15.75" customHeight="1">
      <c r="N128" s="27"/>
    </row>
    <row r="129" ht="15.75" customHeight="1">
      <c r="N129" s="27"/>
    </row>
    <row r="130" ht="15.75" customHeight="1">
      <c r="N130" s="27"/>
    </row>
    <row r="131" ht="15.75" customHeight="1">
      <c r="N131" s="27"/>
    </row>
    <row r="132" ht="15.75" customHeight="1">
      <c r="N132" s="27"/>
    </row>
    <row r="133" ht="15.75" customHeight="1">
      <c r="N133" s="27"/>
    </row>
    <row r="134" ht="15.75" customHeight="1">
      <c r="N134" s="27"/>
    </row>
    <row r="135" ht="15.75" customHeight="1">
      <c r="N135" s="27"/>
    </row>
    <row r="136" ht="15.75" customHeight="1">
      <c r="N136" s="27"/>
    </row>
    <row r="137" ht="15.75" customHeight="1">
      <c r="N137" s="27"/>
    </row>
    <row r="138" ht="15.75" customHeight="1">
      <c r="N138" s="27"/>
    </row>
    <row r="139" ht="15.75" customHeight="1">
      <c r="N139" s="27"/>
    </row>
    <row r="140" ht="15.75" customHeight="1">
      <c r="N140" s="27"/>
    </row>
    <row r="141" ht="15.75" customHeight="1">
      <c r="N141" s="27"/>
    </row>
    <row r="142" ht="15.75" customHeight="1">
      <c r="N142" s="27"/>
    </row>
    <row r="143" ht="15.75" customHeight="1">
      <c r="N143" s="27"/>
    </row>
    <row r="144" ht="15.75" customHeight="1">
      <c r="N144" s="27"/>
    </row>
    <row r="145" ht="15.75" customHeight="1">
      <c r="N145" s="27"/>
    </row>
    <row r="146" ht="15.75" customHeight="1">
      <c r="N146" s="27"/>
    </row>
    <row r="147" ht="15.75" customHeight="1">
      <c r="N147" s="27"/>
    </row>
    <row r="148" ht="15.75" customHeight="1">
      <c r="N148" s="27"/>
    </row>
    <row r="149" ht="15.75" customHeight="1">
      <c r="N149" s="27"/>
    </row>
    <row r="150" ht="15.75" customHeight="1">
      <c r="N150" s="27"/>
    </row>
    <row r="151" ht="15.75" customHeight="1">
      <c r="N151" s="27"/>
    </row>
    <row r="152" ht="15.75" customHeight="1">
      <c r="N152" s="27"/>
    </row>
    <row r="153" ht="15.75" customHeight="1">
      <c r="N153" s="27"/>
    </row>
    <row r="154" ht="15.75" customHeight="1">
      <c r="N154" s="27"/>
    </row>
    <row r="155" ht="15.75" customHeight="1">
      <c r="N155" s="27"/>
    </row>
    <row r="156" ht="15.75" customHeight="1">
      <c r="N156" s="27"/>
    </row>
    <row r="157" ht="15.75" customHeight="1">
      <c r="N157" s="27"/>
    </row>
    <row r="158" ht="15.75" customHeight="1">
      <c r="N158" s="27"/>
    </row>
    <row r="159" ht="15.75" customHeight="1">
      <c r="N159" s="27"/>
    </row>
    <row r="160" ht="15.75" customHeight="1">
      <c r="N160" s="27"/>
    </row>
    <row r="161" ht="15.75" customHeight="1">
      <c r="N161" s="27"/>
    </row>
    <row r="162" ht="15.75" customHeight="1">
      <c r="N162" s="27"/>
    </row>
    <row r="163" ht="15.75" customHeight="1">
      <c r="N163" s="27"/>
    </row>
    <row r="164" ht="15.75" customHeight="1">
      <c r="N164" s="27"/>
    </row>
    <row r="165" ht="15.75" customHeight="1">
      <c r="N165" s="27"/>
    </row>
    <row r="166" ht="15.75" customHeight="1">
      <c r="N166" s="27"/>
    </row>
    <row r="167" ht="15.75" customHeight="1">
      <c r="N167" s="27"/>
    </row>
    <row r="168" ht="15.75" customHeight="1">
      <c r="N168" s="27"/>
    </row>
    <row r="169" ht="15.75" customHeight="1">
      <c r="N169" s="27"/>
    </row>
    <row r="170" ht="15.75" customHeight="1">
      <c r="N170" s="27"/>
    </row>
    <row r="171" ht="15.75" customHeight="1">
      <c r="N171" s="27"/>
    </row>
    <row r="172" ht="15.75" customHeight="1">
      <c r="N172" s="27"/>
    </row>
    <row r="173" ht="15.75" customHeight="1">
      <c r="N173" s="27"/>
    </row>
    <row r="174" ht="15.75" customHeight="1">
      <c r="N174" s="27"/>
    </row>
    <row r="175" ht="15.75" customHeight="1">
      <c r="N175" s="27"/>
    </row>
    <row r="176" ht="15.75" customHeight="1">
      <c r="N176" s="27"/>
    </row>
    <row r="177" ht="15.75" customHeight="1">
      <c r="N177" s="27"/>
    </row>
    <row r="178" ht="15.75" customHeight="1">
      <c r="N178" s="27"/>
    </row>
    <row r="179" ht="15.75" customHeight="1">
      <c r="N179" s="27"/>
    </row>
    <row r="180" ht="15.75" customHeight="1">
      <c r="N180" s="27"/>
    </row>
    <row r="181" ht="15.75" customHeight="1">
      <c r="N181" s="27"/>
    </row>
    <row r="182" ht="15.75" customHeight="1">
      <c r="N182" s="27"/>
    </row>
    <row r="183" ht="15.75" customHeight="1">
      <c r="N183" s="27"/>
    </row>
    <row r="184" ht="15.75" customHeight="1">
      <c r="N184" s="27"/>
    </row>
    <row r="185" ht="15.75" customHeight="1">
      <c r="N185" s="27"/>
    </row>
    <row r="186" ht="15.75" customHeight="1">
      <c r="N186" s="27"/>
    </row>
    <row r="187" ht="15.75" customHeight="1">
      <c r="N187" s="27"/>
    </row>
    <row r="188" ht="15.75" customHeight="1">
      <c r="N188" s="27"/>
    </row>
    <row r="189" ht="15.75" customHeight="1">
      <c r="N189" s="27"/>
    </row>
    <row r="190" ht="15.75" customHeight="1">
      <c r="N190" s="27"/>
    </row>
    <row r="191" ht="15.75" customHeight="1">
      <c r="N191" s="27"/>
    </row>
    <row r="192" ht="15.75" customHeight="1">
      <c r="N192" s="27"/>
    </row>
    <row r="193" ht="15.75" customHeight="1">
      <c r="N193" s="27"/>
    </row>
    <row r="194" ht="15.75" customHeight="1">
      <c r="N194" s="27"/>
    </row>
    <row r="195" ht="15.75" customHeight="1">
      <c r="N195" s="27"/>
    </row>
    <row r="196" ht="15.75" customHeight="1">
      <c r="N196" s="27"/>
    </row>
    <row r="197" ht="15.75" customHeight="1">
      <c r="N197" s="27"/>
    </row>
    <row r="198" ht="15.75" customHeight="1">
      <c r="N198" s="27"/>
    </row>
    <row r="199" ht="15.75" customHeight="1">
      <c r="N199" s="27"/>
    </row>
    <row r="200" ht="15.75" customHeight="1">
      <c r="N200" s="27"/>
    </row>
    <row r="201" ht="15.75" customHeight="1">
      <c r="N201" s="27"/>
    </row>
    <row r="202" ht="15.75" customHeight="1">
      <c r="N202" s="27"/>
    </row>
    <row r="203" ht="15.75" customHeight="1">
      <c r="N203" s="27"/>
    </row>
    <row r="204" ht="15.75" customHeight="1">
      <c r="N204" s="27"/>
    </row>
    <row r="205" ht="15.75" customHeight="1">
      <c r="N205" s="27"/>
    </row>
    <row r="206" ht="15.75" customHeight="1">
      <c r="N206" s="27"/>
    </row>
    <row r="207" ht="15.75" customHeight="1">
      <c r="N207" s="27"/>
    </row>
    <row r="208" ht="15.75" customHeight="1">
      <c r="N208" s="27"/>
    </row>
    <row r="209" ht="15.75" customHeight="1">
      <c r="N209" s="27"/>
    </row>
    <row r="210" ht="15.75" customHeight="1">
      <c r="N210" s="27"/>
    </row>
    <row r="211" ht="15.75" customHeight="1">
      <c r="N211" s="27"/>
    </row>
    <row r="212" ht="15.75" customHeight="1">
      <c r="N212" s="27"/>
    </row>
    <row r="213" ht="15.75" customHeight="1">
      <c r="N213" s="27"/>
    </row>
    <row r="214" ht="15.75" customHeight="1">
      <c r="N214" s="27"/>
    </row>
    <row r="215" ht="15.75" customHeight="1">
      <c r="N215" s="27"/>
    </row>
    <row r="216" ht="15.75" customHeight="1">
      <c r="N216" s="27"/>
    </row>
    <row r="217" ht="15.75" customHeight="1">
      <c r="N217" s="27"/>
    </row>
    <row r="218" ht="15.75" customHeight="1">
      <c r="N218" s="27"/>
    </row>
    <row r="219" ht="15.75" customHeight="1">
      <c r="N219" s="27"/>
    </row>
    <row r="220" ht="15.75" customHeight="1">
      <c r="N220" s="27"/>
    </row>
    <row r="221" ht="15.75" customHeight="1">
      <c r="N221" s="27"/>
    </row>
    <row r="222" ht="15.75" customHeight="1">
      <c r="N222" s="27"/>
    </row>
    <row r="223" ht="15.75" customHeight="1">
      <c r="N223" s="27"/>
    </row>
    <row r="224" ht="15.75" customHeight="1">
      <c r="N224" s="27"/>
    </row>
    <row r="225" ht="15.75" customHeight="1">
      <c r="N225" s="27"/>
    </row>
    <row r="226" ht="15.75" customHeight="1">
      <c r="N226" s="27"/>
    </row>
    <row r="227" ht="15.75" customHeight="1">
      <c r="N227" s="27"/>
    </row>
    <row r="228" ht="15.75" customHeight="1">
      <c r="N228" s="27"/>
    </row>
    <row r="229" ht="15.75" customHeight="1">
      <c r="N229" s="27"/>
    </row>
    <row r="230" ht="15.75" customHeight="1">
      <c r="N230" s="27"/>
    </row>
    <row r="231" ht="15.75" customHeight="1">
      <c r="N231" s="27"/>
    </row>
    <row r="232" ht="15.75" customHeight="1">
      <c r="N232" s="27"/>
    </row>
    <row r="233" ht="15.75" customHeight="1">
      <c r="N233" s="27"/>
    </row>
    <row r="234" ht="15.75" customHeight="1">
      <c r="N234" s="27"/>
    </row>
    <row r="235" ht="15.75" customHeight="1">
      <c r="N235" s="27"/>
    </row>
    <row r="236" ht="15.75" customHeight="1">
      <c r="N236" s="27"/>
    </row>
    <row r="237" ht="15.75" customHeight="1">
      <c r="N237" s="27"/>
    </row>
    <row r="238" ht="15.75" customHeight="1">
      <c r="N238" s="27"/>
    </row>
    <row r="239" ht="15.75" customHeight="1">
      <c r="N239" s="27"/>
    </row>
    <row r="240" ht="15.75" customHeight="1">
      <c r="N240" s="27"/>
    </row>
    <row r="241" ht="15.75" customHeight="1">
      <c r="N241" s="27"/>
    </row>
    <row r="242" ht="15.75" customHeight="1">
      <c r="N242" s="27"/>
    </row>
    <row r="243" ht="15.75" customHeight="1">
      <c r="N243" s="27"/>
    </row>
    <row r="244" ht="15.75" customHeight="1">
      <c r="N244" s="27"/>
    </row>
    <row r="245" ht="15.75" customHeight="1">
      <c r="N245" s="27"/>
    </row>
    <row r="246" ht="15.75" customHeight="1">
      <c r="N246" s="27"/>
    </row>
    <row r="247" ht="15.75" customHeight="1">
      <c r="N247" s="27"/>
    </row>
    <row r="248" ht="15.75" customHeight="1">
      <c r="N248" s="27"/>
    </row>
    <row r="249" ht="15.75" customHeight="1">
      <c r="N249" s="27"/>
    </row>
    <row r="250" ht="15.75" customHeight="1">
      <c r="N250" s="27"/>
    </row>
    <row r="251" ht="15.75" customHeight="1">
      <c r="N251" s="27"/>
    </row>
    <row r="252" ht="15.75" customHeight="1">
      <c r="N252" s="27"/>
    </row>
    <row r="253" ht="15.75" customHeight="1">
      <c r="N253" s="27"/>
    </row>
    <row r="254" ht="15.75" customHeight="1">
      <c r="N254" s="27"/>
    </row>
    <row r="255" ht="15.75" customHeight="1">
      <c r="N255" s="27"/>
    </row>
    <row r="256" ht="15.75" customHeight="1">
      <c r="N256" s="27"/>
    </row>
    <row r="257" ht="15.75" customHeight="1">
      <c r="N257" s="27"/>
    </row>
    <row r="258" ht="15.75" customHeight="1">
      <c r="N258" s="27"/>
    </row>
    <row r="259" ht="15.75" customHeight="1">
      <c r="N259" s="27"/>
    </row>
    <row r="260" ht="15.75" customHeight="1">
      <c r="N260" s="27"/>
    </row>
    <row r="261" ht="15.75" customHeight="1">
      <c r="N261" s="27"/>
    </row>
    <row r="262" ht="15.75" customHeight="1">
      <c r="N262" s="27"/>
    </row>
    <row r="263" ht="15.75" customHeight="1">
      <c r="N263" s="27"/>
    </row>
    <row r="264" ht="15.75" customHeight="1">
      <c r="N264" s="27"/>
    </row>
    <row r="265" ht="15.75" customHeight="1">
      <c r="N265" s="27"/>
    </row>
    <row r="266" ht="15.75" customHeight="1">
      <c r="N266" s="27"/>
    </row>
    <row r="267" ht="15.75" customHeight="1">
      <c r="N267" s="27"/>
    </row>
    <row r="268" ht="15.75" customHeight="1">
      <c r="N268" s="27"/>
    </row>
    <row r="269" ht="15.75" customHeight="1">
      <c r="N269" s="27"/>
    </row>
    <row r="270" ht="15.75" customHeight="1">
      <c r="N270" s="27"/>
    </row>
    <row r="271" ht="15.75" customHeight="1">
      <c r="N271" s="27"/>
    </row>
    <row r="272" ht="15.75" customHeight="1">
      <c r="N272" s="27"/>
    </row>
    <row r="273" ht="15.75" customHeight="1">
      <c r="N273" s="27"/>
    </row>
    <row r="274" ht="15.75" customHeight="1">
      <c r="N274" s="27"/>
    </row>
    <row r="275" ht="15.75" customHeight="1">
      <c r="N275" s="27"/>
    </row>
    <row r="276" ht="15.75" customHeight="1">
      <c r="N276" s="27"/>
    </row>
    <row r="277" ht="15.75" customHeight="1">
      <c r="N277" s="27"/>
    </row>
    <row r="278" ht="15.75" customHeight="1">
      <c r="N278" s="27"/>
    </row>
    <row r="279" ht="15.75" customHeight="1">
      <c r="N279" s="27"/>
    </row>
    <row r="280" ht="15.75" customHeight="1">
      <c r="N280" s="27"/>
    </row>
    <row r="281" ht="15.75" customHeight="1">
      <c r="N281" s="27"/>
    </row>
    <row r="282" ht="15.75" customHeight="1">
      <c r="N282" s="27"/>
    </row>
    <row r="283" ht="15.75" customHeight="1">
      <c r="N283" s="27"/>
    </row>
    <row r="284" ht="15.75" customHeight="1">
      <c r="N284" s="27"/>
    </row>
    <row r="285" ht="15.75" customHeight="1">
      <c r="N285" s="27"/>
    </row>
    <row r="286" ht="15.75" customHeight="1">
      <c r="N286" s="27"/>
    </row>
    <row r="287" ht="15.75" customHeight="1">
      <c r="N287" s="27"/>
    </row>
    <row r="288" ht="15.75" customHeight="1">
      <c r="N288" s="27"/>
    </row>
    <row r="289" ht="15.75" customHeight="1">
      <c r="N289" s="27"/>
    </row>
    <row r="290" ht="15.75" customHeight="1">
      <c r="N290" s="27"/>
    </row>
    <row r="291" ht="15.75" customHeight="1">
      <c r="N291" s="27"/>
    </row>
    <row r="292" ht="15.75" customHeight="1">
      <c r="N292" s="27"/>
    </row>
    <row r="293" ht="15.75" customHeight="1">
      <c r="N293" s="27"/>
    </row>
    <row r="294" ht="15.75" customHeight="1">
      <c r="N294" s="27"/>
    </row>
    <row r="295" ht="15.75" customHeight="1">
      <c r="N295" s="27"/>
    </row>
    <row r="296" ht="15.75" customHeight="1">
      <c r="N296" s="27"/>
    </row>
    <row r="297" ht="15.75" customHeight="1">
      <c r="N297" s="27"/>
    </row>
    <row r="298" ht="15.75" customHeight="1">
      <c r="N298" s="27"/>
    </row>
    <row r="299" ht="15.75" customHeight="1">
      <c r="N299" s="27"/>
    </row>
    <row r="300" ht="15.75" customHeight="1">
      <c r="N300" s="27"/>
    </row>
    <row r="301" ht="15.75" customHeight="1">
      <c r="N301" s="27"/>
    </row>
    <row r="302" ht="15.75" customHeight="1">
      <c r="N302" s="27"/>
    </row>
    <row r="303" ht="15.75" customHeight="1">
      <c r="N303" s="27"/>
    </row>
    <row r="304" ht="15.75" customHeight="1">
      <c r="N304" s="27"/>
    </row>
    <row r="305" ht="15.75" customHeight="1">
      <c r="N305" s="27"/>
    </row>
    <row r="306" ht="15.75" customHeight="1">
      <c r="N306" s="27"/>
    </row>
    <row r="307" ht="15.75" customHeight="1">
      <c r="N307" s="27"/>
    </row>
    <row r="308" ht="15.75" customHeight="1">
      <c r="N308" s="27"/>
    </row>
    <row r="309" ht="15.75" customHeight="1">
      <c r="N309" s="27"/>
    </row>
    <row r="310" ht="15.75" customHeight="1">
      <c r="N310" s="27"/>
    </row>
    <row r="311" ht="15.75" customHeight="1">
      <c r="N311" s="27"/>
    </row>
    <row r="312" ht="15.75" customHeight="1">
      <c r="N312" s="27"/>
    </row>
    <row r="313" ht="15.75" customHeight="1">
      <c r="N313" s="27"/>
    </row>
    <row r="314" ht="15.75" customHeight="1">
      <c r="N314" s="27"/>
    </row>
    <row r="315" ht="15.75" customHeight="1">
      <c r="N315" s="27"/>
    </row>
    <row r="316" ht="15.75" customHeight="1">
      <c r="N316" s="27"/>
    </row>
    <row r="317" ht="15.75" customHeight="1">
      <c r="N317" s="27"/>
    </row>
    <row r="318" ht="15.75" customHeight="1">
      <c r="N318" s="27"/>
    </row>
    <row r="319" ht="15.75" customHeight="1">
      <c r="N319" s="27"/>
    </row>
    <row r="320" ht="15.75" customHeight="1">
      <c r="N320" s="27"/>
    </row>
    <row r="321" ht="15.75" customHeight="1">
      <c r="N321" s="27"/>
    </row>
    <row r="322" ht="15.75" customHeight="1">
      <c r="N322" s="27"/>
    </row>
    <row r="323" ht="15.75" customHeight="1">
      <c r="N323" s="27"/>
    </row>
    <row r="324" ht="15.75" customHeight="1">
      <c r="N324" s="27"/>
    </row>
    <row r="325" ht="15.75" customHeight="1">
      <c r="N325" s="27"/>
    </row>
    <row r="326" ht="15.75" customHeight="1">
      <c r="N326" s="27"/>
    </row>
    <row r="327" ht="15.75" customHeight="1">
      <c r="N327" s="27"/>
    </row>
    <row r="328" ht="15.75" customHeight="1">
      <c r="N328" s="27"/>
    </row>
    <row r="329" ht="15.75" customHeight="1">
      <c r="N329" s="27"/>
    </row>
    <row r="330" ht="15.75" customHeight="1">
      <c r="N330" s="27"/>
    </row>
    <row r="331" ht="15.75" customHeight="1">
      <c r="N331" s="27"/>
    </row>
    <row r="332" ht="15.75" customHeight="1">
      <c r="N332" s="27"/>
    </row>
    <row r="333" ht="15.75" customHeight="1">
      <c r="N333" s="27"/>
    </row>
    <row r="334" ht="15.75" customHeight="1">
      <c r="N334" s="27"/>
    </row>
    <row r="335" ht="15.75" customHeight="1">
      <c r="N335" s="27"/>
    </row>
    <row r="336" ht="15.75" customHeight="1">
      <c r="N336" s="27"/>
    </row>
    <row r="337" ht="15.75" customHeight="1">
      <c r="N337" s="27"/>
    </row>
    <row r="338" ht="15.75" customHeight="1">
      <c r="N338" s="27"/>
    </row>
    <row r="339" ht="15.75" customHeight="1">
      <c r="N339" s="27"/>
    </row>
    <row r="340" ht="15.75" customHeight="1">
      <c r="N340" s="27"/>
    </row>
    <row r="341" ht="15.75" customHeight="1">
      <c r="N341" s="27"/>
    </row>
    <row r="342" ht="15.75" customHeight="1">
      <c r="N342" s="27"/>
    </row>
    <row r="343" ht="15.75" customHeight="1">
      <c r="N343" s="27"/>
    </row>
    <row r="344" ht="15.75" customHeight="1">
      <c r="N344" s="27"/>
    </row>
    <row r="345" ht="15.75" customHeight="1">
      <c r="N345" s="27"/>
    </row>
    <row r="346" ht="15.75" customHeight="1">
      <c r="N346" s="27"/>
    </row>
    <row r="347" ht="15.75" customHeight="1">
      <c r="N347" s="27"/>
    </row>
    <row r="348" ht="15.75" customHeight="1">
      <c r="N348" s="27"/>
    </row>
    <row r="349" ht="15.75" customHeight="1">
      <c r="N349" s="27"/>
    </row>
    <row r="350" ht="15.75" customHeight="1">
      <c r="N350" s="27"/>
    </row>
    <row r="351" ht="15.75" customHeight="1">
      <c r="N351" s="27"/>
    </row>
    <row r="352" ht="15.75" customHeight="1">
      <c r="N352" s="27"/>
    </row>
    <row r="353" ht="15.75" customHeight="1">
      <c r="N353" s="27"/>
    </row>
    <row r="354" ht="15.75" customHeight="1">
      <c r="N354" s="27"/>
    </row>
    <row r="355" ht="15.75" customHeight="1">
      <c r="N355" s="27"/>
    </row>
    <row r="356" ht="15.75" customHeight="1">
      <c r="N356" s="27"/>
    </row>
    <row r="357" ht="15.75" customHeight="1">
      <c r="N357" s="27"/>
    </row>
    <row r="358" ht="15.75" customHeight="1">
      <c r="N358" s="27"/>
    </row>
    <row r="359" ht="15.75" customHeight="1">
      <c r="N359" s="27"/>
    </row>
    <row r="360" ht="15.75" customHeight="1">
      <c r="N360" s="27"/>
    </row>
    <row r="361" ht="15.75" customHeight="1">
      <c r="N361" s="27"/>
    </row>
    <row r="362" ht="15.75" customHeight="1">
      <c r="N362" s="27"/>
    </row>
    <row r="363" ht="15.75" customHeight="1">
      <c r="N363" s="27"/>
    </row>
    <row r="364" ht="15.75" customHeight="1">
      <c r="N364" s="27"/>
    </row>
    <row r="365" ht="15.75" customHeight="1">
      <c r="N365" s="27"/>
    </row>
    <row r="366" ht="15.75" customHeight="1">
      <c r="N366" s="27"/>
    </row>
    <row r="367" ht="15.75" customHeight="1">
      <c r="N367" s="27"/>
    </row>
    <row r="368" ht="15.75" customHeight="1">
      <c r="N368" s="27"/>
    </row>
    <row r="369" ht="15.75" customHeight="1">
      <c r="N369" s="27"/>
    </row>
    <row r="370" ht="15.75" customHeight="1">
      <c r="N370" s="27"/>
    </row>
    <row r="371" ht="15.75" customHeight="1">
      <c r="N371" s="27"/>
    </row>
    <row r="372" ht="15.75" customHeight="1">
      <c r="N372" s="27"/>
    </row>
    <row r="373" ht="15.75" customHeight="1">
      <c r="N373" s="27"/>
    </row>
    <row r="374" ht="15.75" customHeight="1">
      <c r="N374" s="27"/>
    </row>
    <row r="375" ht="15.75" customHeight="1">
      <c r="N375" s="27"/>
    </row>
    <row r="376" ht="15.75" customHeight="1">
      <c r="N376" s="27"/>
    </row>
    <row r="377" ht="15.75" customHeight="1">
      <c r="N377" s="27"/>
    </row>
    <row r="378" ht="15.75" customHeight="1">
      <c r="N378" s="27"/>
    </row>
    <row r="379" ht="15.75" customHeight="1">
      <c r="N379" s="27"/>
    </row>
    <row r="380" ht="15.75" customHeight="1">
      <c r="N380" s="27"/>
    </row>
    <row r="381" ht="15.75" customHeight="1">
      <c r="N381" s="27"/>
    </row>
    <row r="382" ht="15.75" customHeight="1">
      <c r="N382" s="27"/>
    </row>
    <row r="383" ht="15.75" customHeight="1">
      <c r="N383" s="27"/>
    </row>
    <row r="384" ht="15.75" customHeight="1">
      <c r="N384" s="27"/>
    </row>
    <row r="385" ht="15.75" customHeight="1">
      <c r="N385" s="27"/>
    </row>
    <row r="386" ht="15.75" customHeight="1">
      <c r="N386" s="27"/>
    </row>
    <row r="387" ht="15.75" customHeight="1">
      <c r="N387" s="27"/>
    </row>
    <row r="388" ht="15.75" customHeight="1">
      <c r="N388" s="27"/>
    </row>
    <row r="389" ht="15.75" customHeight="1">
      <c r="N389" s="27"/>
    </row>
    <row r="390" ht="15.75" customHeight="1">
      <c r="N390" s="27"/>
    </row>
    <row r="391" ht="15.75" customHeight="1">
      <c r="N391" s="27"/>
    </row>
    <row r="392" ht="15.75" customHeight="1">
      <c r="N392" s="27"/>
    </row>
    <row r="393" ht="15.75" customHeight="1">
      <c r="N393" s="27"/>
    </row>
    <row r="394" ht="15.75" customHeight="1">
      <c r="N394" s="27"/>
    </row>
    <row r="395" ht="15.75" customHeight="1">
      <c r="N395" s="27"/>
    </row>
    <row r="396" ht="15.75" customHeight="1">
      <c r="N396" s="27"/>
    </row>
    <row r="397" ht="15.75" customHeight="1">
      <c r="N397" s="27"/>
    </row>
    <row r="398" ht="15.75" customHeight="1">
      <c r="N398" s="27"/>
    </row>
    <row r="399" ht="15.75" customHeight="1">
      <c r="N399" s="27"/>
    </row>
    <row r="400" ht="15.75" customHeight="1">
      <c r="N400" s="27"/>
    </row>
    <row r="401" ht="15.75" customHeight="1">
      <c r="N401" s="27"/>
    </row>
    <row r="402" ht="15.75" customHeight="1">
      <c r="N402" s="27"/>
    </row>
    <row r="403" ht="15.75" customHeight="1">
      <c r="N403" s="27"/>
    </row>
    <row r="404" ht="15.75" customHeight="1">
      <c r="N404" s="27"/>
    </row>
    <row r="405" ht="15.75" customHeight="1">
      <c r="N405" s="27"/>
    </row>
    <row r="406" ht="15.75" customHeight="1">
      <c r="N406" s="27"/>
    </row>
    <row r="407" ht="15.75" customHeight="1">
      <c r="N407" s="27"/>
    </row>
    <row r="408" ht="15.75" customHeight="1">
      <c r="N408" s="27"/>
    </row>
    <row r="409" ht="15.75" customHeight="1">
      <c r="N409" s="27"/>
    </row>
    <row r="410" ht="15.75" customHeight="1">
      <c r="N410" s="27"/>
    </row>
    <row r="411" ht="15.75" customHeight="1">
      <c r="N411" s="27"/>
    </row>
    <row r="412" ht="15.75" customHeight="1">
      <c r="N412" s="27"/>
    </row>
    <row r="413" ht="15.75" customHeight="1">
      <c r="N413" s="27"/>
    </row>
    <row r="414" ht="15.75" customHeight="1">
      <c r="N414" s="27"/>
    </row>
    <row r="415" ht="15.75" customHeight="1">
      <c r="N415" s="27"/>
    </row>
    <row r="416" ht="15.75" customHeight="1">
      <c r="N416" s="27"/>
    </row>
    <row r="417" ht="15.75" customHeight="1">
      <c r="N417" s="27"/>
    </row>
    <row r="418" ht="15.75" customHeight="1">
      <c r="N418" s="27"/>
    </row>
    <row r="419" ht="15.75" customHeight="1">
      <c r="N419" s="27"/>
    </row>
    <row r="420" ht="15.75" customHeight="1">
      <c r="N420" s="27"/>
    </row>
    <row r="421" ht="15.75" customHeight="1">
      <c r="N421" s="27"/>
    </row>
    <row r="422" ht="15.75" customHeight="1">
      <c r="N422" s="27"/>
    </row>
    <row r="423" ht="15.75" customHeight="1">
      <c r="N423" s="27"/>
    </row>
    <row r="424" ht="15.75" customHeight="1">
      <c r="N424" s="27"/>
    </row>
    <row r="425" ht="15.75" customHeight="1">
      <c r="N425" s="27"/>
    </row>
    <row r="426" ht="15.75" customHeight="1">
      <c r="N426" s="27"/>
    </row>
    <row r="427" ht="15.75" customHeight="1">
      <c r="N427" s="27"/>
    </row>
    <row r="428" ht="15.75" customHeight="1">
      <c r="N428" s="27"/>
    </row>
    <row r="429" ht="15.75" customHeight="1">
      <c r="N429" s="27"/>
    </row>
    <row r="430" ht="15.75" customHeight="1">
      <c r="N430" s="27"/>
    </row>
    <row r="431" ht="15.75" customHeight="1">
      <c r="N431" s="27"/>
    </row>
    <row r="432" ht="15.75" customHeight="1">
      <c r="N432" s="27"/>
    </row>
    <row r="433" ht="15.75" customHeight="1">
      <c r="N433" s="27"/>
    </row>
    <row r="434" ht="15.75" customHeight="1">
      <c r="N434" s="27"/>
    </row>
    <row r="435" ht="15.75" customHeight="1">
      <c r="N435" s="27"/>
    </row>
    <row r="436" ht="15.75" customHeight="1">
      <c r="N436" s="27"/>
    </row>
    <row r="437" ht="15.75" customHeight="1">
      <c r="N437" s="27"/>
    </row>
    <row r="438" ht="15.75" customHeight="1">
      <c r="N438" s="27"/>
    </row>
    <row r="439" ht="15.75" customHeight="1">
      <c r="N439" s="27"/>
    </row>
    <row r="440" ht="15.75" customHeight="1">
      <c r="N440" s="27"/>
    </row>
    <row r="441" ht="15.75" customHeight="1">
      <c r="N441" s="27"/>
    </row>
    <row r="442" ht="15.75" customHeight="1">
      <c r="N442" s="27"/>
    </row>
    <row r="443" ht="15.75" customHeight="1">
      <c r="N443" s="27"/>
    </row>
    <row r="444" ht="15.75" customHeight="1">
      <c r="N444" s="27"/>
    </row>
    <row r="445" ht="15.75" customHeight="1">
      <c r="N445" s="27"/>
    </row>
    <row r="446" ht="15.75" customHeight="1">
      <c r="N446" s="27"/>
    </row>
    <row r="447" ht="15.75" customHeight="1">
      <c r="N447" s="27"/>
    </row>
    <row r="448" ht="15.75" customHeight="1">
      <c r="N448" s="27"/>
    </row>
    <row r="449" ht="15.75" customHeight="1">
      <c r="N449" s="27"/>
    </row>
    <row r="450" ht="15.75" customHeight="1">
      <c r="N450" s="27"/>
    </row>
    <row r="451" ht="15.75" customHeight="1">
      <c r="N451" s="27"/>
    </row>
    <row r="452" ht="15.75" customHeight="1">
      <c r="N452" s="27"/>
    </row>
    <row r="453" ht="15.75" customHeight="1">
      <c r="N453" s="27"/>
    </row>
    <row r="454" ht="15.75" customHeight="1">
      <c r="N454" s="27"/>
    </row>
    <row r="455" ht="15.75" customHeight="1">
      <c r="N455" s="27"/>
    </row>
    <row r="456" ht="15.75" customHeight="1">
      <c r="N456" s="27"/>
    </row>
    <row r="457" ht="15.75" customHeight="1">
      <c r="N457" s="27"/>
    </row>
    <row r="458" ht="15.75" customHeight="1">
      <c r="N458" s="27"/>
    </row>
    <row r="459" ht="15.75" customHeight="1">
      <c r="N459" s="27"/>
    </row>
    <row r="460" ht="15.75" customHeight="1">
      <c r="N460" s="27"/>
    </row>
    <row r="461" ht="15.75" customHeight="1">
      <c r="N461" s="27"/>
    </row>
    <row r="462" ht="15.75" customHeight="1">
      <c r="N462" s="27"/>
    </row>
    <row r="463" ht="15.75" customHeight="1">
      <c r="N463" s="27"/>
    </row>
    <row r="464" ht="15.75" customHeight="1">
      <c r="N464" s="27"/>
    </row>
    <row r="465" ht="15.75" customHeight="1">
      <c r="N465" s="27"/>
    </row>
    <row r="466" ht="15.75" customHeight="1">
      <c r="N466" s="27"/>
    </row>
    <row r="467" ht="15.75" customHeight="1">
      <c r="N467" s="27"/>
    </row>
    <row r="468" ht="15.75" customHeight="1">
      <c r="N468" s="27"/>
    </row>
    <row r="469" ht="15.75" customHeight="1">
      <c r="N469" s="27"/>
    </row>
    <row r="470" ht="15.75" customHeight="1">
      <c r="N470" s="27"/>
    </row>
    <row r="471" ht="15.75" customHeight="1">
      <c r="N471" s="27"/>
    </row>
    <row r="472" ht="15.75" customHeight="1">
      <c r="N472" s="27"/>
    </row>
    <row r="473" ht="15.75" customHeight="1">
      <c r="N473" s="27"/>
    </row>
    <row r="474" ht="15.75" customHeight="1">
      <c r="N474" s="27"/>
    </row>
    <row r="475" ht="15.75" customHeight="1">
      <c r="N475" s="27"/>
    </row>
    <row r="476" ht="15.75" customHeight="1">
      <c r="N476" s="27"/>
    </row>
    <row r="477" ht="15.75" customHeight="1">
      <c r="N477" s="27"/>
    </row>
    <row r="478" ht="15.75" customHeight="1">
      <c r="N478" s="27"/>
    </row>
    <row r="479" ht="15.75" customHeight="1">
      <c r="N479" s="27"/>
    </row>
    <row r="480" ht="15.75" customHeight="1">
      <c r="N480" s="27"/>
    </row>
    <row r="481" ht="15.75" customHeight="1">
      <c r="N481" s="27"/>
    </row>
    <row r="482" ht="15.75" customHeight="1">
      <c r="N482" s="27"/>
    </row>
    <row r="483" ht="15.75" customHeight="1">
      <c r="N483" s="27"/>
    </row>
    <row r="484" ht="15.75" customHeight="1">
      <c r="N484" s="27"/>
    </row>
    <row r="485" ht="15.75" customHeight="1">
      <c r="N485" s="27"/>
    </row>
    <row r="486" ht="15.75" customHeight="1">
      <c r="N486" s="27"/>
    </row>
    <row r="487" ht="15.75" customHeight="1">
      <c r="N487" s="27"/>
    </row>
    <row r="488" ht="15.75" customHeight="1">
      <c r="N488" s="27"/>
    </row>
    <row r="489" ht="15.75" customHeight="1">
      <c r="N489" s="27"/>
    </row>
    <row r="490" ht="15.75" customHeight="1">
      <c r="N490" s="27"/>
    </row>
    <row r="491" ht="15.75" customHeight="1">
      <c r="N491" s="27"/>
    </row>
    <row r="492" ht="15.75" customHeight="1">
      <c r="N492" s="27"/>
    </row>
    <row r="493" ht="15.75" customHeight="1">
      <c r="N493" s="27"/>
    </row>
    <row r="494" ht="15.75" customHeight="1">
      <c r="N494" s="27"/>
    </row>
    <row r="495" ht="15.75" customHeight="1">
      <c r="N495" s="27"/>
    </row>
    <row r="496" ht="15.75" customHeight="1">
      <c r="N496" s="27"/>
    </row>
    <row r="497" ht="15.75" customHeight="1">
      <c r="N497" s="27"/>
    </row>
    <row r="498" ht="15.75" customHeight="1">
      <c r="N498" s="27"/>
    </row>
    <row r="499" ht="15.75" customHeight="1">
      <c r="N499" s="27"/>
    </row>
    <row r="500" ht="15.75" customHeight="1">
      <c r="N500" s="27"/>
    </row>
    <row r="501" ht="15.75" customHeight="1">
      <c r="N501" s="27"/>
    </row>
    <row r="502" ht="15.75" customHeight="1">
      <c r="N502" s="27"/>
    </row>
    <row r="503" ht="15.75" customHeight="1">
      <c r="N503" s="27"/>
    </row>
    <row r="504" ht="15.75" customHeight="1">
      <c r="N504" s="27"/>
    </row>
    <row r="505" ht="15.75" customHeight="1">
      <c r="N505" s="27"/>
    </row>
    <row r="506" ht="15.75" customHeight="1">
      <c r="N506" s="27"/>
    </row>
    <row r="507" ht="15.75" customHeight="1">
      <c r="N507" s="27"/>
    </row>
    <row r="508" ht="15.75" customHeight="1">
      <c r="N508" s="27"/>
    </row>
    <row r="509" ht="15.75" customHeight="1">
      <c r="N509" s="27"/>
    </row>
    <row r="510" ht="15.75" customHeight="1">
      <c r="N510" s="27"/>
    </row>
    <row r="511" ht="15.75" customHeight="1">
      <c r="N511" s="27"/>
    </row>
    <row r="512" ht="15.75" customHeight="1">
      <c r="N512" s="27"/>
    </row>
    <row r="513" ht="15.75" customHeight="1">
      <c r="N513" s="27"/>
    </row>
    <row r="514" ht="15.75" customHeight="1">
      <c r="N514" s="27"/>
    </row>
    <row r="515" ht="15.75" customHeight="1">
      <c r="N515" s="27"/>
    </row>
    <row r="516" ht="15.75" customHeight="1">
      <c r="N516" s="27"/>
    </row>
    <row r="517" ht="15.75" customHeight="1">
      <c r="N517" s="27"/>
    </row>
    <row r="518" ht="15.75" customHeight="1">
      <c r="N518" s="27"/>
    </row>
    <row r="519" ht="15.75" customHeight="1">
      <c r="N519" s="27"/>
    </row>
    <row r="520" ht="15.75" customHeight="1">
      <c r="N520" s="27"/>
    </row>
    <row r="521" ht="15.75" customHeight="1">
      <c r="N521" s="27"/>
    </row>
    <row r="522" ht="15.75" customHeight="1">
      <c r="N522" s="27"/>
    </row>
    <row r="523" ht="15.75" customHeight="1">
      <c r="N523" s="27"/>
    </row>
    <row r="524" ht="15.75" customHeight="1">
      <c r="N524" s="27"/>
    </row>
    <row r="525" ht="15.75" customHeight="1">
      <c r="N525" s="27"/>
    </row>
    <row r="526" ht="15.75" customHeight="1">
      <c r="N526" s="27"/>
    </row>
    <row r="527" ht="15.75" customHeight="1">
      <c r="N527" s="27"/>
    </row>
    <row r="528" ht="15.75" customHeight="1">
      <c r="N528" s="27"/>
    </row>
    <row r="529" ht="15.75" customHeight="1">
      <c r="N529" s="27"/>
    </row>
    <row r="530" ht="15.75" customHeight="1">
      <c r="N530" s="27"/>
    </row>
    <row r="531" ht="15.75" customHeight="1">
      <c r="N531" s="27"/>
    </row>
    <row r="532" ht="15.75" customHeight="1">
      <c r="N532" s="27"/>
    </row>
    <row r="533" ht="15.75" customHeight="1">
      <c r="N533" s="27"/>
    </row>
    <row r="534" ht="15.75" customHeight="1">
      <c r="N534" s="27"/>
    </row>
    <row r="535" ht="15.75" customHeight="1">
      <c r="N535" s="27"/>
    </row>
    <row r="536" ht="15.75" customHeight="1">
      <c r="N536" s="27"/>
    </row>
    <row r="537" ht="15.75" customHeight="1">
      <c r="N537" s="27"/>
    </row>
    <row r="538" ht="15.75" customHeight="1">
      <c r="N538" s="27"/>
    </row>
    <row r="539" ht="15.75" customHeight="1">
      <c r="N539" s="27"/>
    </row>
    <row r="540" ht="15.75" customHeight="1">
      <c r="N540" s="27"/>
    </row>
    <row r="541" ht="15.75" customHeight="1">
      <c r="N541" s="27"/>
    </row>
    <row r="542" ht="15.75" customHeight="1">
      <c r="N542" s="27"/>
    </row>
    <row r="543" ht="15.75" customHeight="1">
      <c r="N543" s="27"/>
    </row>
    <row r="544" ht="15.75" customHeight="1">
      <c r="N544" s="27"/>
    </row>
    <row r="545" ht="15.75" customHeight="1">
      <c r="N545" s="27"/>
    </row>
    <row r="546" ht="15.75" customHeight="1">
      <c r="N546" s="27"/>
    </row>
    <row r="547" ht="15.75" customHeight="1">
      <c r="N547" s="27"/>
    </row>
    <row r="548" ht="15.75" customHeight="1">
      <c r="N548" s="27"/>
    </row>
    <row r="549" ht="15.75" customHeight="1">
      <c r="N549" s="27"/>
    </row>
    <row r="550" ht="15.75" customHeight="1">
      <c r="N550" s="27"/>
    </row>
    <row r="551" ht="15.75" customHeight="1">
      <c r="N551" s="27"/>
    </row>
    <row r="552" ht="15.75" customHeight="1">
      <c r="N552" s="27"/>
    </row>
    <row r="553" ht="15.75" customHeight="1">
      <c r="N553" s="27"/>
    </row>
    <row r="554" ht="15.75" customHeight="1">
      <c r="N554" s="27"/>
    </row>
    <row r="555" ht="15.75" customHeight="1">
      <c r="N555" s="27"/>
    </row>
    <row r="556" ht="15.75" customHeight="1">
      <c r="N556" s="27"/>
    </row>
    <row r="557" ht="15.75" customHeight="1">
      <c r="N557" s="27"/>
    </row>
    <row r="558" ht="15.75" customHeight="1">
      <c r="N558" s="27"/>
    </row>
    <row r="559" ht="15.75" customHeight="1">
      <c r="N559" s="27"/>
    </row>
    <row r="560" ht="15.75" customHeight="1">
      <c r="N560" s="27"/>
    </row>
    <row r="561" ht="15.75" customHeight="1">
      <c r="N561" s="27"/>
    </row>
    <row r="562" ht="15.75" customHeight="1">
      <c r="N562" s="27"/>
    </row>
    <row r="563" ht="15.75" customHeight="1">
      <c r="N563" s="27"/>
    </row>
    <row r="564" ht="15.75" customHeight="1">
      <c r="N564" s="27"/>
    </row>
    <row r="565" ht="15.75" customHeight="1">
      <c r="N565" s="27"/>
    </row>
    <row r="566" ht="15.75" customHeight="1">
      <c r="N566" s="27"/>
    </row>
    <row r="567" ht="15.75" customHeight="1">
      <c r="N567" s="27"/>
    </row>
    <row r="568" ht="15.75" customHeight="1">
      <c r="N568" s="27"/>
    </row>
    <row r="569" ht="15.75" customHeight="1">
      <c r="N569" s="27"/>
    </row>
    <row r="570" ht="15.75" customHeight="1">
      <c r="N570" s="27"/>
    </row>
    <row r="571" ht="15.75" customHeight="1">
      <c r="N571" s="27"/>
    </row>
    <row r="572" ht="15.75" customHeight="1">
      <c r="N572" s="27"/>
    </row>
    <row r="573" ht="15.75" customHeight="1">
      <c r="N573" s="27"/>
    </row>
    <row r="574" ht="15.75" customHeight="1">
      <c r="N574" s="27"/>
    </row>
    <row r="575" ht="15.75" customHeight="1">
      <c r="N575" s="27"/>
    </row>
    <row r="576" ht="15.75" customHeight="1">
      <c r="N576" s="27"/>
    </row>
    <row r="577" ht="15.75" customHeight="1">
      <c r="N577" s="27"/>
    </row>
    <row r="578" ht="15.75" customHeight="1">
      <c r="N578" s="27"/>
    </row>
    <row r="579" ht="15.75" customHeight="1">
      <c r="N579" s="27"/>
    </row>
    <row r="580" ht="15.75" customHeight="1">
      <c r="N580" s="27"/>
    </row>
    <row r="581" ht="15.75" customHeight="1">
      <c r="N581" s="27"/>
    </row>
    <row r="582" ht="15.75" customHeight="1">
      <c r="N582" s="27"/>
    </row>
    <row r="583" ht="15.75" customHeight="1">
      <c r="N583" s="27"/>
    </row>
    <row r="584" ht="15.75" customHeight="1">
      <c r="N584" s="27"/>
    </row>
    <row r="585" ht="15.75" customHeight="1">
      <c r="N585" s="27"/>
    </row>
    <row r="586" ht="15.75" customHeight="1">
      <c r="N586" s="27"/>
    </row>
    <row r="587" ht="15.75" customHeight="1">
      <c r="N587" s="27"/>
    </row>
    <row r="588" ht="15.75" customHeight="1">
      <c r="N588" s="27"/>
    </row>
    <row r="589" ht="15.75" customHeight="1">
      <c r="N589" s="27"/>
    </row>
    <row r="590" ht="15.75" customHeight="1">
      <c r="N590" s="27"/>
    </row>
    <row r="591" ht="15.75" customHeight="1">
      <c r="N591" s="27"/>
    </row>
    <row r="592" ht="15.75" customHeight="1">
      <c r="N592" s="27"/>
    </row>
    <row r="593" ht="15.75" customHeight="1">
      <c r="N593" s="27"/>
    </row>
    <row r="594" ht="15.75" customHeight="1">
      <c r="N594" s="27"/>
    </row>
    <row r="595" ht="15.75" customHeight="1">
      <c r="N595" s="27"/>
    </row>
    <row r="596" ht="15.75" customHeight="1">
      <c r="N596" s="27"/>
    </row>
    <row r="597" ht="15.75" customHeight="1">
      <c r="N597" s="27"/>
    </row>
    <row r="598" ht="15.75" customHeight="1">
      <c r="N598" s="27"/>
    </row>
    <row r="599" ht="15.75" customHeight="1">
      <c r="N599" s="27"/>
    </row>
    <row r="600" ht="15.75" customHeight="1">
      <c r="N600" s="27"/>
    </row>
    <row r="601" ht="15.75" customHeight="1">
      <c r="N601" s="27"/>
    </row>
    <row r="602" ht="15.75" customHeight="1">
      <c r="N602" s="27"/>
    </row>
    <row r="603" ht="15.75" customHeight="1">
      <c r="N603" s="27"/>
    </row>
    <row r="604" ht="15.75" customHeight="1">
      <c r="N604" s="27"/>
    </row>
    <row r="605" ht="15.75" customHeight="1">
      <c r="N605" s="27"/>
    </row>
    <row r="606" ht="15.75" customHeight="1">
      <c r="N606" s="27"/>
    </row>
    <row r="607" ht="15.75" customHeight="1">
      <c r="N607" s="27"/>
    </row>
    <row r="608" ht="15.75" customHeight="1">
      <c r="N608" s="27"/>
    </row>
    <row r="609" ht="15.75" customHeight="1">
      <c r="N609" s="27"/>
    </row>
    <row r="610" ht="15.75" customHeight="1">
      <c r="N610" s="27"/>
    </row>
    <row r="611" ht="15.75" customHeight="1">
      <c r="N611" s="27"/>
    </row>
    <row r="612" ht="15.75" customHeight="1">
      <c r="N612" s="27"/>
    </row>
    <row r="613" ht="15.75" customHeight="1">
      <c r="N613" s="27"/>
    </row>
    <row r="614" ht="15.75" customHeight="1">
      <c r="N614" s="27"/>
    </row>
    <row r="615" ht="15.75" customHeight="1">
      <c r="N615" s="27"/>
    </row>
    <row r="616" ht="15.75" customHeight="1">
      <c r="N616" s="27"/>
    </row>
    <row r="617" ht="15.75" customHeight="1">
      <c r="N617" s="27"/>
    </row>
    <row r="618" ht="15.75" customHeight="1">
      <c r="N618" s="27"/>
    </row>
    <row r="619" ht="15.75" customHeight="1">
      <c r="N619" s="27"/>
    </row>
    <row r="620" ht="15.75" customHeight="1">
      <c r="N620" s="27"/>
    </row>
    <row r="621" ht="15.75" customHeight="1">
      <c r="N621" s="27"/>
    </row>
    <row r="622" ht="15.75" customHeight="1">
      <c r="N622" s="27"/>
    </row>
    <row r="623" ht="15.75" customHeight="1">
      <c r="N623" s="27"/>
    </row>
    <row r="624" ht="15.75" customHeight="1">
      <c r="N624" s="27"/>
    </row>
    <row r="625" ht="15.75" customHeight="1">
      <c r="N625" s="27"/>
    </row>
    <row r="626" ht="15.75" customHeight="1">
      <c r="N626" s="27"/>
    </row>
    <row r="627" ht="15.75" customHeight="1">
      <c r="N627" s="27"/>
    </row>
    <row r="628" ht="15.75" customHeight="1">
      <c r="N628" s="27"/>
    </row>
    <row r="629" ht="15.75" customHeight="1">
      <c r="N629" s="27"/>
    </row>
    <row r="630" ht="15.75" customHeight="1">
      <c r="N630" s="27"/>
    </row>
    <row r="631" ht="15.75" customHeight="1">
      <c r="N631" s="27"/>
    </row>
    <row r="632" ht="15.75" customHeight="1">
      <c r="N632" s="27"/>
    </row>
    <row r="633" ht="15.75" customHeight="1">
      <c r="N633" s="27"/>
    </row>
    <row r="634" ht="15.75" customHeight="1">
      <c r="N634" s="27"/>
    </row>
    <row r="635" ht="15.75" customHeight="1">
      <c r="N635" s="27"/>
    </row>
    <row r="636" ht="15.75" customHeight="1">
      <c r="N636" s="27"/>
    </row>
    <row r="637" ht="15.75" customHeight="1">
      <c r="N637" s="27"/>
    </row>
    <row r="638" ht="15.75" customHeight="1">
      <c r="N638" s="27"/>
    </row>
    <row r="639" ht="15.75" customHeight="1">
      <c r="N639" s="27"/>
    </row>
    <row r="640" ht="15.75" customHeight="1">
      <c r="N640" s="27"/>
    </row>
    <row r="641" ht="15.75" customHeight="1">
      <c r="N641" s="27"/>
    </row>
    <row r="642" ht="15.75" customHeight="1">
      <c r="N642" s="27"/>
    </row>
    <row r="643" ht="15.75" customHeight="1">
      <c r="N643" s="27"/>
    </row>
    <row r="644" ht="15.75" customHeight="1">
      <c r="N644" s="27"/>
    </row>
    <row r="645" ht="15.75" customHeight="1">
      <c r="N645" s="27"/>
    </row>
    <row r="646" ht="15.75" customHeight="1">
      <c r="N646" s="27"/>
    </row>
    <row r="647" ht="15.75" customHeight="1">
      <c r="N647" s="27"/>
    </row>
    <row r="648" ht="15.75" customHeight="1">
      <c r="N648" s="27"/>
    </row>
    <row r="649" ht="15.75" customHeight="1">
      <c r="N649" s="27"/>
    </row>
    <row r="650" ht="15.75" customHeight="1">
      <c r="N650" s="27"/>
    </row>
    <row r="651" ht="15.75" customHeight="1">
      <c r="N651" s="27"/>
    </row>
    <row r="652" ht="15.75" customHeight="1">
      <c r="N652" s="27"/>
    </row>
    <row r="653" ht="15.75" customHeight="1">
      <c r="N653" s="27"/>
    </row>
    <row r="654" ht="15.75" customHeight="1">
      <c r="N654" s="27"/>
    </row>
    <row r="655" ht="15.75" customHeight="1">
      <c r="N655" s="27"/>
    </row>
    <row r="656" ht="15.75" customHeight="1">
      <c r="N656" s="27"/>
    </row>
    <row r="657" ht="15.75" customHeight="1">
      <c r="N657" s="27"/>
    </row>
    <row r="658" ht="15.75" customHeight="1">
      <c r="N658" s="27"/>
    </row>
    <row r="659" ht="15.75" customHeight="1">
      <c r="N659" s="27"/>
    </row>
    <row r="660" ht="15.75" customHeight="1">
      <c r="N660" s="27"/>
    </row>
    <row r="661" ht="15.75" customHeight="1">
      <c r="N661" s="27"/>
    </row>
    <row r="662" ht="15.75" customHeight="1">
      <c r="N662" s="27"/>
    </row>
    <row r="663" ht="15.75" customHeight="1">
      <c r="N663" s="27"/>
    </row>
    <row r="664" ht="15.75" customHeight="1">
      <c r="N664" s="27"/>
    </row>
    <row r="665" ht="15.75" customHeight="1">
      <c r="N665" s="27"/>
    </row>
    <row r="666" ht="15.75" customHeight="1">
      <c r="N666" s="27"/>
    </row>
    <row r="667" ht="15.75" customHeight="1">
      <c r="N667" s="27"/>
    </row>
    <row r="668" ht="15.75" customHeight="1">
      <c r="N668" s="27"/>
    </row>
    <row r="669" ht="15.75" customHeight="1">
      <c r="N669" s="27"/>
    </row>
    <row r="670" ht="15.75" customHeight="1">
      <c r="N670" s="27"/>
    </row>
    <row r="671" ht="15.75" customHeight="1">
      <c r="N671" s="27"/>
    </row>
    <row r="672" ht="15.75" customHeight="1">
      <c r="N672" s="27"/>
    </row>
    <row r="673" ht="15.75" customHeight="1">
      <c r="N673" s="27"/>
    </row>
    <row r="674" ht="15.75" customHeight="1">
      <c r="N674" s="27"/>
    </row>
    <row r="675" ht="15.75" customHeight="1">
      <c r="N675" s="27"/>
    </row>
    <row r="676" ht="15.75" customHeight="1">
      <c r="N676" s="27"/>
    </row>
    <row r="677" ht="15.75" customHeight="1">
      <c r="N677" s="27"/>
    </row>
    <row r="678" ht="15.75" customHeight="1">
      <c r="N678" s="27"/>
    </row>
    <row r="679" ht="15.75" customHeight="1">
      <c r="N679" s="27"/>
    </row>
    <row r="680" ht="15.75" customHeight="1">
      <c r="N680" s="27"/>
    </row>
    <row r="681" ht="15.75" customHeight="1">
      <c r="N681" s="27"/>
    </row>
    <row r="682" ht="15.75" customHeight="1">
      <c r="N682" s="27"/>
    </row>
    <row r="683" ht="15.75" customHeight="1">
      <c r="N683" s="27"/>
    </row>
    <row r="684" ht="15.75" customHeight="1">
      <c r="N684" s="27"/>
    </row>
    <row r="685" ht="15.75" customHeight="1">
      <c r="N685" s="27"/>
    </row>
    <row r="686" ht="15.75" customHeight="1">
      <c r="N686" s="27"/>
    </row>
    <row r="687" ht="15.75" customHeight="1">
      <c r="N687" s="27"/>
    </row>
    <row r="688" ht="15.75" customHeight="1">
      <c r="N688" s="27"/>
    </row>
    <row r="689" ht="15.75" customHeight="1">
      <c r="N689" s="27"/>
    </row>
    <row r="690" ht="15.75" customHeight="1">
      <c r="N690" s="27"/>
    </row>
    <row r="691" ht="15.75" customHeight="1">
      <c r="N691" s="27"/>
    </row>
    <row r="692" ht="15.75" customHeight="1">
      <c r="N692" s="27"/>
    </row>
    <row r="693" ht="15.75" customHeight="1">
      <c r="N693" s="27"/>
    </row>
    <row r="694" ht="15.75" customHeight="1">
      <c r="N694" s="27"/>
    </row>
    <row r="695" ht="15.75" customHeight="1">
      <c r="N695" s="27"/>
    </row>
    <row r="696" ht="15.75" customHeight="1">
      <c r="N696" s="27"/>
    </row>
    <row r="697" ht="15.75" customHeight="1">
      <c r="N697" s="27"/>
    </row>
    <row r="698" ht="15.75" customHeight="1">
      <c r="N698" s="27"/>
    </row>
    <row r="699" ht="15.75" customHeight="1">
      <c r="N699" s="27"/>
    </row>
    <row r="700" ht="15.75" customHeight="1">
      <c r="N700" s="27"/>
    </row>
    <row r="701" ht="15.75" customHeight="1">
      <c r="N701" s="27"/>
    </row>
    <row r="702" ht="15.75" customHeight="1">
      <c r="N702" s="27"/>
    </row>
    <row r="703" ht="15.75" customHeight="1">
      <c r="N703" s="27"/>
    </row>
    <row r="704" ht="15.75" customHeight="1">
      <c r="N704" s="27"/>
    </row>
    <row r="705" ht="15.75" customHeight="1">
      <c r="N705" s="27"/>
    </row>
    <row r="706" ht="15.75" customHeight="1">
      <c r="N706" s="27"/>
    </row>
    <row r="707" ht="15.75" customHeight="1">
      <c r="N707" s="27"/>
    </row>
    <row r="708" ht="15.75" customHeight="1">
      <c r="N708" s="27"/>
    </row>
    <row r="709" ht="15.75" customHeight="1">
      <c r="N709" s="27"/>
    </row>
    <row r="710" ht="15.75" customHeight="1">
      <c r="N710" s="27"/>
    </row>
    <row r="711" ht="15.75" customHeight="1">
      <c r="N711" s="27"/>
    </row>
    <row r="712" ht="15.75" customHeight="1">
      <c r="N712" s="27"/>
    </row>
    <row r="713" ht="15.75" customHeight="1">
      <c r="N713" s="27"/>
    </row>
    <row r="714" ht="15.75" customHeight="1">
      <c r="N714" s="27"/>
    </row>
    <row r="715" ht="15.75" customHeight="1">
      <c r="N715" s="27"/>
    </row>
    <row r="716" ht="15.75" customHeight="1">
      <c r="N716" s="27"/>
    </row>
    <row r="717" ht="15.75" customHeight="1">
      <c r="N717" s="27"/>
    </row>
    <row r="718" ht="15.75" customHeight="1">
      <c r="N718" s="27"/>
    </row>
    <row r="719" ht="15.75" customHeight="1">
      <c r="N719" s="27"/>
    </row>
    <row r="720" ht="15.75" customHeight="1">
      <c r="N720" s="27"/>
    </row>
    <row r="721" ht="15.75" customHeight="1">
      <c r="N721" s="27"/>
    </row>
    <row r="722" ht="15.75" customHeight="1">
      <c r="N722" s="27"/>
    </row>
    <row r="723" ht="15.75" customHeight="1">
      <c r="N723" s="27"/>
    </row>
    <row r="724" ht="15.75" customHeight="1">
      <c r="N724" s="27"/>
    </row>
    <row r="725" ht="15.75" customHeight="1">
      <c r="N725" s="27"/>
    </row>
    <row r="726" ht="15.75" customHeight="1">
      <c r="N726" s="27"/>
    </row>
    <row r="727" ht="15.75" customHeight="1">
      <c r="N727" s="27"/>
    </row>
    <row r="728" ht="15.75" customHeight="1">
      <c r="N728" s="27"/>
    </row>
    <row r="729" ht="15.75" customHeight="1">
      <c r="N729" s="27"/>
    </row>
    <row r="730" ht="15.75" customHeight="1">
      <c r="N730" s="27"/>
    </row>
    <row r="731" ht="15.75" customHeight="1">
      <c r="N731" s="27"/>
    </row>
    <row r="732" ht="15.75" customHeight="1">
      <c r="N732" s="27"/>
    </row>
    <row r="733" ht="15.75" customHeight="1">
      <c r="N733" s="27"/>
    </row>
    <row r="734" ht="15.75" customHeight="1">
      <c r="N734" s="27"/>
    </row>
    <row r="735" ht="15.75" customHeight="1">
      <c r="N735" s="27"/>
    </row>
    <row r="736" ht="15.75" customHeight="1">
      <c r="N736" s="27"/>
    </row>
    <row r="737" ht="15.75" customHeight="1">
      <c r="N737" s="27"/>
    </row>
    <row r="738" ht="15.75" customHeight="1">
      <c r="N738" s="27"/>
    </row>
    <row r="739" ht="15.75" customHeight="1">
      <c r="N739" s="27"/>
    </row>
    <row r="740" ht="15.75" customHeight="1">
      <c r="N740" s="27"/>
    </row>
    <row r="741" ht="15.75" customHeight="1">
      <c r="N741" s="27"/>
    </row>
    <row r="742" ht="15.75" customHeight="1">
      <c r="N742" s="27"/>
    </row>
    <row r="743" ht="15.75" customHeight="1">
      <c r="N743" s="27"/>
    </row>
    <row r="744" ht="15.75" customHeight="1">
      <c r="N744" s="27"/>
    </row>
    <row r="745" ht="15.75" customHeight="1">
      <c r="N745" s="27"/>
    </row>
    <row r="746" ht="15.75" customHeight="1">
      <c r="N746" s="27"/>
    </row>
    <row r="747" ht="15.75" customHeight="1">
      <c r="N747" s="27"/>
    </row>
    <row r="748" ht="15.75" customHeight="1">
      <c r="N748" s="27"/>
    </row>
    <row r="749" ht="15.75" customHeight="1">
      <c r="N749" s="27"/>
    </row>
    <row r="750" ht="15.75" customHeight="1">
      <c r="N750" s="27"/>
    </row>
    <row r="751" ht="15.75" customHeight="1">
      <c r="N751" s="27"/>
    </row>
    <row r="752" ht="15.75" customHeight="1">
      <c r="N752" s="27"/>
    </row>
    <row r="753" ht="15.75" customHeight="1">
      <c r="N753" s="27"/>
    </row>
    <row r="754" ht="15.75" customHeight="1">
      <c r="N754" s="27"/>
    </row>
    <row r="755" ht="15.75" customHeight="1">
      <c r="N755" s="27"/>
    </row>
    <row r="756" ht="15.75" customHeight="1">
      <c r="N756" s="27"/>
    </row>
    <row r="757" ht="15.75" customHeight="1">
      <c r="N757" s="27"/>
    </row>
    <row r="758" ht="15.75" customHeight="1">
      <c r="N758" s="27"/>
    </row>
    <row r="759" ht="15.75" customHeight="1">
      <c r="N759" s="27"/>
    </row>
    <row r="760" ht="15.75" customHeight="1">
      <c r="N760" s="27"/>
    </row>
    <row r="761" ht="15.75" customHeight="1">
      <c r="N761" s="27"/>
    </row>
    <row r="762" ht="15.75" customHeight="1">
      <c r="N762" s="27"/>
    </row>
    <row r="763" ht="15.75" customHeight="1">
      <c r="N763" s="27"/>
    </row>
    <row r="764" ht="15.75" customHeight="1">
      <c r="N764" s="27"/>
    </row>
    <row r="765" ht="15.75" customHeight="1">
      <c r="N765" s="27"/>
    </row>
    <row r="766" ht="15.75" customHeight="1">
      <c r="N766" s="27"/>
    </row>
    <row r="767" ht="15.75" customHeight="1">
      <c r="N767" s="27"/>
    </row>
    <row r="768" ht="15.75" customHeight="1">
      <c r="N768" s="27"/>
    </row>
    <row r="769" ht="15.75" customHeight="1">
      <c r="N769" s="27"/>
    </row>
    <row r="770" ht="15.75" customHeight="1">
      <c r="N770" s="27"/>
    </row>
    <row r="771" ht="15.75" customHeight="1">
      <c r="N771" s="27"/>
    </row>
    <row r="772" ht="15.75" customHeight="1">
      <c r="N772" s="27"/>
    </row>
    <row r="773" ht="15.75" customHeight="1">
      <c r="N773" s="27"/>
    </row>
    <row r="774" ht="15.75" customHeight="1">
      <c r="N774" s="27"/>
    </row>
    <row r="775" ht="15.75" customHeight="1">
      <c r="N775" s="27"/>
    </row>
    <row r="776" ht="15.75" customHeight="1">
      <c r="N776" s="27"/>
    </row>
    <row r="777" ht="15.75" customHeight="1">
      <c r="N777" s="27"/>
    </row>
    <row r="778" ht="15.75" customHeight="1">
      <c r="N778" s="27"/>
    </row>
    <row r="779" ht="15.75" customHeight="1">
      <c r="N779" s="27"/>
    </row>
    <row r="780" ht="15.75" customHeight="1">
      <c r="N780" s="27"/>
    </row>
    <row r="781" ht="15.75" customHeight="1">
      <c r="N781" s="27"/>
    </row>
    <row r="782" ht="15.75" customHeight="1">
      <c r="N782" s="27"/>
    </row>
    <row r="783" ht="15.75" customHeight="1">
      <c r="N783" s="27"/>
    </row>
    <row r="784" ht="15.75" customHeight="1">
      <c r="N784" s="27"/>
    </row>
    <row r="785" ht="15.75" customHeight="1">
      <c r="N785" s="27"/>
    </row>
    <row r="786" ht="15.75" customHeight="1">
      <c r="N786" s="27"/>
    </row>
    <row r="787" ht="15.75" customHeight="1">
      <c r="N787" s="27"/>
    </row>
    <row r="788" ht="15.75" customHeight="1">
      <c r="N788" s="27"/>
    </row>
    <row r="789" ht="15.75" customHeight="1">
      <c r="N789" s="27"/>
    </row>
    <row r="790" ht="15.75" customHeight="1">
      <c r="N790" s="27"/>
    </row>
    <row r="791" ht="15.75" customHeight="1">
      <c r="N791" s="27"/>
    </row>
    <row r="792" ht="15.75" customHeight="1">
      <c r="N792" s="27"/>
    </row>
    <row r="793" ht="15.75" customHeight="1">
      <c r="N793" s="27"/>
    </row>
    <row r="794" ht="15.75" customHeight="1">
      <c r="N794" s="27"/>
    </row>
    <row r="795" ht="15.75" customHeight="1">
      <c r="N795" s="27"/>
    </row>
    <row r="796" ht="15.75" customHeight="1">
      <c r="N796" s="27"/>
    </row>
    <row r="797" ht="15.75" customHeight="1">
      <c r="N797" s="27"/>
    </row>
    <row r="798" ht="15.75" customHeight="1">
      <c r="N798" s="27"/>
    </row>
    <row r="799" ht="15.75" customHeight="1">
      <c r="N799" s="27"/>
    </row>
    <row r="800" ht="15.75" customHeight="1">
      <c r="N800" s="27"/>
    </row>
    <row r="801" ht="15.75" customHeight="1">
      <c r="N801" s="27"/>
    </row>
    <row r="802" ht="15.75" customHeight="1">
      <c r="N802" s="27"/>
    </row>
    <row r="803" ht="15.75" customHeight="1">
      <c r="N803" s="27"/>
    </row>
    <row r="804" ht="15.75" customHeight="1">
      <c r="N804" s="27"/>
    </row>
    <row r="805" ht="15.75" customHeight="1">
      <c r="N805" s="27"/>
    </row>
    <row r="806" ht="15.75" customHeight="1">
      <c r="N806" s="27"/>
    </row>
    <row r="807" ht="15.75" customHeight="1">
      <c r="N807" s="27"/>
    </row>
    <row r="808" ht="15.75" customHeight="1">
      <c r="N808" s="27"/>
    </row>
    <row r="809" ht="15.75" customHeight="1">
      <c r="N809" s="27"/>
    </row>
    <row r="810" ht="15.75" customHeight="1">
      <c r="N810" s="27"/>
    </row>
    <row r="811" ht="15.75" customHeight="1">
      <c r="N811" s="27"/>
    </row>
    <row r="812" ht="15.75" customHeight="1">
      <c r="N812" s="27"/>
    </row>
    <row r="813" ht="15.75" customHeight="1">
      <c r="N813" s="27"/>
    </row>
    <row r="814" ht="15.75" customHeight="1">
      <c r="N814" s="27"/>
    </row>
    <row r="815" ht="15.75" customHeight="1">
      <c r="N815" s="27"/>
    </row>
    <row r="816" ht="15.75" customHeight="1">
      <c r="N816" s="27"/>
    </row>
    <row r="817" ht="15.75" customHeight="1">
      <c r="N817" s="27"/>
    </row>
    <row r="818" ht="15.75" customHeight="1">
      <c r="N818" s="27"/>
    </row>
    <row r="819" ht="15.75" customHeight="1">
      <c r="N819" s="27"/>
    </row>
    <row r="820" ht="15.75" customHeight="1">
      <c r="N820" s="27"/>
    </row>
    <row r="821" ht="15.75" customHeight="1">
      <c r="N821" s="27"/>
    </row>
    <row r="822" ht="15.75" customHeight="1">
      <c r="N822" s="27"/>
    </row>
    <row r="823" ht="15.75" customHeight="1">
      <c r="N823" s="27"/>
    </row>
    <row r="824" ht="15.75" customHeight="1">
      <c r="N824" s="27"/>
    </row>
    <row r="825" ht="15.75" customHeight="1">
      <c r="N825" s="27"/>
    </row>
    <row r="826" ht="15.75" customHeight="1">
      <c r="N826" s="27"/>
    </row>
    <row r="827" ht="15.75" customHeight="1">
      <c r="N827" s="27"/>
    </row>
    <row r="828" ht="15.75" customHeight="1">
      <c r="N828" s="27"/>
    </row>
    <row r="829" ht="15.75" customHeight="1">
      <c r="N829" s="27"/>
    </row>
    <row r="830" ht="15.75" customHeight="1">
      <c r="N830" s="27"/>
    </row>
    <row r="831" ht="15.75" customHeight="1">
      <c r="N831" s="27"/>
    </row>
    <row r="832" ht="15.75" customHeight="1">
      <c r="N832" s="27"/>
    </row>
    <row r="833" ht="15.75" customHeight="1">
      <c r="N833" s="27"/>
    </row>
    <row r="834" ht="15.75" customHeight="1">
      <c r="N834" s="27"/>
    </row>
    <row r="835" ht="15.75" customHeight="1">
      <c r="N835" s="27"/>
    </row>
    <row r="836" ht="15.75" customHeight="1">
      <c r="N836" s="27"/>
    </row>
    <row r="837" ht="15.75" customHeight="1">
      <c r="N837" s="27"/>
    </row>
    <row r="838" ht="15.75" customHeight="1">
      <c r="N838" s="27"/>
    </row>
    <row r="839" ht="15.75" customHeight="1">
      <c r="N839" s="27"/>
    </row>
    <row r="840" ht="15.75" customHeight="1">
      <c r="N840" s="27"/>
    </row>
    <row r="841" ht="15.75" customHeight="1">
      <c r="N841" s="27"/>
    </row>
    <row r="842" ht="15.75" customHeight="1">
      <c r="N842" s="27"/>
    </row>
    <row r="843" ht="15.75" customHeight="1">
      <c r="N843" s="27"/>
    </row>
    <row r="844" ht="15.75" customHeight="1">
      <c r="N844" s="27"/>
    </row>
    <row r="845" ht="15.75" customHeight="1">
      <c r="N845" s="27"/>
    </row>
    <row r="846" ht="15.75" customHeight="1">
      <c r="N846" s="27"/>
    </row>
    <row r="847" ht="15.75" customHeight="1">
      <c r="N847" s="27"/>
    </row>
    <row r="848" ht="15.75" customHeight="1">
      <c r="N848" s="27"/>
    </row>
    <row r="849" ht="15.75" customHeight="1">
      <c r="N849" s="27"/>
    </row>
    <row r="850" ht="15.75" customHeight="1">
      <c r="N850" s="27"/>
    </row>
    <row r="851" ht="15.75" customHeight="1">
      <c r="N851" s="27"/>
    </row>
    <row r="852" ht="15.75" customHeight="1">
      <c r="N852" s="27"/>
    </row>
    <row r="853" ht="15.75" customHeight="1">
      <c r="N853" s="27"/>
    </row>
    <row r="854" ht="15.75" customHeight="1">
      <c r="N854" s="27"/>
    </row>
    <row r="855" ht="15.75" customHeight="1">
      <c r="N855" s="27"/>
    </row>
    <row r="856" ht="15.75" customHeight="1">
      <c r="N856" s="27"/>
    </row>
    <row r="857" ht="15.75" customHeight="1">
      <c r="N857" s="27"/>
    </row>
    <row r="858" ht="15.75" customHeight="1">
      <c r="N858" s="27"/>
    </row>
    <row r="859" ht="15.75" customHeight="1">
      <c r="N859" s="27"/>
    </row>
    <row r="860" ht="15.75" customHeight="1">
      <c r="N860" s="27"/>
    </row>
    <row r="861" ht="15.75" customHeight="1">
      <c r="N861" s="27"/>
    </row>
    <row r="862" ht="15.75" customHeight="1">
      <c r="N862" s="27"/>
    </row>
    <row r="863" ht="15.75" customHeight="1">
      <c r="N863" s="27"/>
    </row>
    <row r="864" ht="15.75" customHeight="1">
      <c r="N864" s="27"/>
    </row>
    <row r="865" ht="15.75" customHeight="1">
      <c r="N865" s="27"/>
    </row>
    <row r="866" ht="15.75" customHeight="1">
      <c r="N866" s="27"/>
    </row>
    <row r="867" ht="15.75" customHeight="1">
      <c r="N867" s="27"/>
    </row>
    <row r="868" ht="15.75" customHeight="1">
      <c r="N868" s="27"/>
    </row>
    <row r="869" ht="15.75" customHeight="1">
      <c r="N869" s="27"/>
    </row>
    <row r="870" ht="15.75" customHeight="1">
      <c r="N870" s="27"/>
    </row>
    <row r="871" ht="15.75" customHeight="1">
      <c r="N871" s="27"/>
    </row>
    <row r="872" ht="15.75" customHeight="1">
      <c r="N872" s="27"/>
    </row>
    <row r="873" ht="15.75" customHeight="1">
      <c r="N873" s="27"/>
    </row>
    <row r="874" ht="15.75" customHeight="1">
      <c r="N874" s="27"/>
    </row>
    <row r="875" ht="15.75" customHeight="1">
      <c r="N875" s="27"/>
    </row>
    <row r="876" ht="15.75" customHeight="1">
      <c r="N876" s="27"/>
    </row>
    <row r="877" ht="15.75" customHeight="1">
      <c r="N877" s="27"/>
    </row>
    <row r="878" ht="15.75" customHeight="1">
      <c r="N878" s="27"/>
    </row>
    <row r="879" ht="15.75" customHeight="1">
      <c r="N879" s="27"/>
    </row>
    <row r="880" ht="15.75" customHeight="1">
      <c r="N880" s="27"/>
    </row>
    <row r="881" ht="15.75" customHeight="1">
      <c r="N881" s="27"/>
    </row>
    <row r="882" ht="15.75" customHeight="1">
      <c r="N882" s="27"/>
    </row>
    <row r="883" ht="15.75" customHeight="1">
      <c r="N883" s="27"/>
    </row>
    <row r="884" ht="15.75" customHeight="1">
      <c r="N884" s="27"/>
    </row>
    <row r="885" ht="15.75" customHeight="1">
      <c r="N885" s="27"/>
    </row>
    <row r="886" ht="15.75" customHeight="1">
      <c r="N886" s="27"/>
    </row>
    <row r="887" ht="15.75" customHeight="1">
      <c r="N887" s="27"/>
    </row>
    <row r="888" ht="15.75" customHeight="1">
      <c r="N888" s="27"/>
    </row>
    <row r="889" ht="15.75" customHeight="1">
      <c r="N889" s="27"/>
    </row>
    <row r="890" ht="15.75" customHeight="1">
      <c r="N890" s="27"/>
    </row>
    <row r="891" ht="15.75" customHeight="1">
      <c r="N891" s="27"/>
    </row>
    <row r="892" ht="15.75" customHeight="1">
      <c r="N892" s="27"/>
    </row>
    <row r="893" ht="15.75" customHeight="1">
      <c r="N893" s="27"/>
    </row>
    <row r="894" ht="15.75" customHeight="1">
      <c r="N894" s="27"/>
    </row>
    <row r="895" ht="15.75" customHeight="1">
      <c r="N895" s="27"/>
    </row>
    <row r="896" ht="15.75" customHeight="1">
      <c r="N896" s="27"/>
    </row>
    <row r="897" ht="15.75" customHeight="1">
      <c r="N897" s="27"/>
    </row>
    <row r="898" ht="15.75" customHeight="1">
      <c r="N898" s="27"/>
    </row>
    <row r="899" ht="15.75" customHeight="1">
      <c r="N899" s="27"/>
    </row>
    <row r="900" ht="15.75" customHeight="1">
      <c r="N900" s="27"/>
    </row>
    <row r="901" ht="15.75" customHeight="1">
      <c r="N901" s="27"/>
    </row>
    <row r="902" ht="15.75" customHeight="1">
      <c r="N902" s="27"/>
    </row>
    <row r="903" ht="15.75" customHeight="1">
      <c r="N903" s="27"/>
    </row>
    <row r="904" ht="15.75" customHeight="1">
      <c r="N904" s="27"/>
    </row>
    <row r="905" ht="15.75" customHeight="1">
      <c r="N905" s="27"/>
    </row>
    <row r="906" ht="15.75" customHeight="1">
      <c r="N906" s="27"/>
    </row>
    <row r="907" ht="15.75" customHeight="1">
      <c r="N907" s="27"/>
    </row>
    <row r="908" ht="15.75" customHeight="1">
      <c r="N908" s="27"/>
    </row>
    <row r="909" ht="15.75" customHeight="1">
      <c r="N909" s="27"/>
    </row>
    <row r="910" ht="15.75" customHeight="1">
      <c r="N910" s="27"/>
    </row>
    <row r="911" ht="15.75" customHeight="1">
      <c r="N911" s="27"/>
    </row>
    <row r="912" ht="15.75" customHeight="1">
      <c r="N912" s="27"/>
    </row>
    <row r="913" ht="15.75" customHeight="1">
      <c r="N913" s="27"/>
    </row>
    <row r="914" ht="15.75" customHeight="1">
      <c r="N914" s="27"/>
    </row>
    <row r="915" ht="15.75" customHeight="1">
      <c r="N915" s="27"/>
    </row>
    <row r="916" ht="15.75" customHeight="1">
      <c r="N916" s="27"/>
    </row>
    <row r="917" ht="15.75" customHeight="1">
      <c r="N917" s="27"/>
    </row>
    <row r="918" ht="15.75" customHeight="1">
      <c r="N918" s="27"/>
    </row>
    <row r="919" ht="15.75" customHeight="1">
      <c r="N919" s="27"/>
    </row>
    <row r="920" ht="15.75" customHeight="1">
      <c r="N920" s="27"/>
    </row>
    <row r="921" ht="15.75" customHeight="1">
      <c r="N921" s="27"/>
    </row>
    <row r="922" ht="15.75" customHeight="1">
      <c r="N922" s="27"/>
    </row>
    <row r="923" ht="15.75" customHeight="1">
      <c r="N923" s="27"/>
    </row>
    <row r="924" ht="15.75" customHeight="1">
      <c r="N924" s="27"/>
    </row>
    <row r="925" ht="15.75" customHeight="1">
      <c r="N925" s="27"/>
    </row>
    <row r="926" ht="15.75" customHeight="1">
      <c r="N926" s="27"/>
    </row>
    <row r="927" ht="15.75" customHeight="1">
      <c r="N927" s="27"/>
    </row>
    <row r="928" ht="15.75" customHeight="1">
      <c r="N928" s="27"/>
    </row>
    <row r="929" ht="15.75" customHeight="1">
      <c r="N929" s="27"/>
    </row>
    <row r="930" ht="15.75" customHeight="1">
      <c r="N930" s="27"/>
    </row>
    <row r="931" ht="15.75" customHeight="1">
      <c r="N931" s="27"/>
    </row>
    <row r="932" ht="15.75" customHeight="1">
      <c r="N932" s="27"/>
    </row>
    <row r="933" ht="15.75" customHeight="1">
      <c r="N933" s="27"/>
    </row>
    <row r="934" ht="15.75" customHeight="1">
      <c r="N934" s="27"/>
    </row>
    <row r="935" ht="15.75" customHeight="1">
      <c r="N935" s="27"/>
    </row>
    <row r="936" ht="15.75" customHeight="1">
      <c r="N936" s="27"/>
    </row>
    <row r="937" ht="15.75" customHeight="1">
      <c r="N937" s="27"/>
    </row>
    <row r="938" ht="15.75" customHeight="1">
      <c r="N938" s="27"/>
    </row>
    <row r="939" ht="15.75" customHeight="1">
      <c r="N939" s="27"/>
    </row>
    <row r="940" ht="15.75" customHeight="1">
      <c r="N940" s="27"/>
    </row>
    <row r="941" ht="15.75" customHeight="1">
      <c r="N941" s="27"/>
    </row>
    <row r="942" ht="15.75" customHeight="1">
      <c r="N942" s="27"/>
    </row>
    <row r="943" ht="15.75" customHeight="1">
      <c r="N943" s="27"/>
    </row>
    <row r="944" ht="15.75" customHeight="1">
      <c r="N944" s="27"/>
    </row>
    <row r="945" ht="15.75" customHeight="1">
      <c r="N945" s="27"/>
    </row>
    <row r="946" ht="15.75" customHeight="1">
      <c r="N946" s="27"/>
    </row>
    <row r="947" ht="15.75" customHeight="1">
      <c r="N947" s="27"/>
    </row>
    <row r="948" ht="15.75" customHeight="1">
      <c r="N948" s="27"/>
    </row>
    <row r="949" ht="15.75" customHeight="1">
      <c r="N949" s="27"/>
    </row>
    <row r="950" ht="15.75" customHeight="1">
      <c r="N950" s="27"/>
    </row>
    <row r="951" ht="15.75" customHeight="1">
      <c r="N951" s="27"/>
    </row>
    <row r="952" ht="15.75" customHeight="1">
      <c r="N952" s="27"/>
    </row>
    <row r="953" ht="15.75" customHeight="1">
      <c r="N953" s="27"/>
    </row>
    <row r="954" ht="15.75" customHeight="1">
      <c r="N954" s="27"/>
    </row>
    <row r="955" ht="15.75" customHeight="1">
      <c r="N955" s="27"/>
    </row>
    <row r="956" ht="15.75" customHeight="1">
      <c r="N956" s="27"/>
    </row>
    <row r="957" ht="15.75" customHeight="1">
      <c r="N957" s="27"/>
    </row>
    <row r="958" ht="15.75" customHeight="1">
      <c r="N958" s="27"/>
    </row>
    <row r="959" ht="15.75" customHeight="1">
      <c r="N959" s="27"/>
    </row>
    <row r="960" ht="15.75" customHeight="1">
      <c r="N960" s="27"/>
    </row>
    <row r="961" ht="15.75" customHeight="1">
      <c r="N961" s="27"/>
    </row>
    <row r="962" ht="15.75" customHeight="1">
      <c r="N962" s="27"/>
    </row>
    <row r="963" ht="15.75" customHeight="1">
      <c r="N963" s="27"/>
    </row>
    <row r="964" ht="15.75" customHeight="1">
      <c r="N964" s="27"/>
    </row>
    <row r="965" ht="15.75" customHeight="1">
      <c r="N965" s="27"/>
    </row>
    <row r="966" ht="15.75" customHeight="1">
      <c r="N966" s="27"/>
    </row>
    <row r="967" ht="15.75" customHeight="1">
      <c r="N967" s="27"/>
    </row>
    <row r="968" ht="15.75" customHeight="1">
      <c r="N968" s="27"/>
    </row>
    <row r="969" ht="15.75" customHeight="1">
      <c r="N969" s="27"/>
    </row>
    <row r="970" ht="15.75" customHeight="1">
      <c r="N970" s="27"/>
    </row>
    <row r="971" ht="15.75" customHeight="1">
      <c r="N971" s="27"/>
    </row>
    <row r="972" ht="15.75" customHeight="1">
      <c r="N972" s="27"/>
    </row>
    <row r="973" ht="15.75" customHeight="1">
      <c r="N973" s="27"/>
    </row>
    <row r="974" ht="15.75" customHeight="1">
      <c r="N974" s="27"/>
    </row>
    <row r="975" ht="15.75" customHeight="1">
      <c r="N975" s="27"/>
    </row>
    <row r="976" ht="15.75" customHeight="1">
      <c r="N976" s="27"/>
    </row>
    <row r="977" ht="15.75" customHeight="1">
      <c r="N977" s="27"/>
    </row>
    <row r="978" ht="15.75" customHeight="1">
      <c r="N978" s="27"/>
    </row>
    <row r="979" ht="15.75" customHeight="1">
      <c r="N979" s="27"/>
    </row>
    <row r="980" ht="15.75" customHeight="1">
      <c r="N980" s="27"/>
    </row>
    <row r="981" ht="15.75" customHeight="1">
      <c r="N981" s="27"/>
    </row>
    <row r="982" ht="15.75" customHeight="1">
      <c r="N982" s="27"/>
    </row>
    <row r="983" ht="15.75" customHeight="1">
      <c r="N983" s="27"/>
    </row>
    <row r="984" ht="15.75" customHeight="1">
      <c r="N984" s="27"/>
    </row>
    <row r="985" ht="15.75" customHeight="1">
      <c r="N985" s="27"/>
    </row>
    <row r="986" ht="15.75" customHeight="1">
      <c r="N986" s="27"/>
    </row>
    <row r="987" ht="15.75" customHeight="1">
      <c r="N987" s="27"/>
    </row>
    <row r="988" ht="15.75" customHeight="1">
      <c r="N988" s="27"/>
    </row>
    <row r="989" ht="15.75" customHeight="1">
      <c r="N989" s="27"/>
    </row>
    <row r="990" ht="15.75" customHeight="1">
      <c r="N990" s="27"/>
    </row>
    <row r="991" ht="15.75" customHeight="1">
      <c r="N991" s="27"/>
    </row>
    <row r="992" ht="15.75" customHeight="1">
      <c r="N992" s="27"/>
    </row>
    <row r="993" ht="15.75" customHeight="1">
      <c r="N993" s="27"/>
    </row>
    <row r="994" ht="15.75" customHeight="1">
      <c r="N994" s="27"/>
    </row>
    <row r="995" ht="15.75" customHeight="1">
      <c r="N995" s="27"/>
    </row>
    <row r="996" ht="15.75" customHeight="1">
      <c r="N996" s="27"/>
    </row>
    <row r="997" ht="15.75" customHeight="1">
      <c r="N997" s="27"/>
    </row>
    <row r="998" ht="15.75" customHeight="1">
      <c r="N998" s="27"/>
    </row>
    <row r="999" ht="15.75" customHeight="1">
      <c r="N999" s="27"/>
    </row>
    <row r="1000" ht="15.75" customHeight="1">
      <c r="N1000" s="27"/>
    </row>
    <row r="1001" ht="15.75" customHeight="1">
      <c r="N1001" s="27"/>
    </row>
    <row r="1002" ht="15.75" customHeight="1">
      <c r="N1002" s="27"/>
    </row>
    <row r="1003" ht="15.75" customHeight="1">
      <c r="N1003" s="27"/>
    </row>
  </sheetData>
  <autoFilter ref="$A$4:$M$94"/>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4.43" defaultRowHeight="15.0"/>
  <cols>
    <col customWidth="1" min="1" max="1" width="6.0"/>
    <col customWidth="1" min="2" max="2" width="11.0"/>
    <col customWidth="1" min="3" max="3" width="10.0"/>
    <col customWidth="1" min="4" max="4" width="12.0"/>
    <col customWidth="1" min="5" max="5" width="9.0"/>
    <col customWidth="1" min="6" max="6" width="50.0"/>
    <col customWidth="1" min="7" max="7" width="36.0"/>
    <col customWidth="1" min="8" max="8" width="7.0"/>
    <col customWidth="1" min="9" max="9" width="13.0"/>
    <col customWidth="1" min="10" max="10" width="36.0"/>
    <col customWidth="1" hidden="1" min="11" max="11" width="24.0"/>
    <col customWidth="1" min="12" max="12" width="42.0"/>
    <col customWidth="1" min="13" max="13" width="40.0"/>
    <col customWidth="1" min="14" max="14" width="26.43"/>
    <col customWidth="1" min="15" max="26" width="8.71"/>
  </cols>
  <sheetData>
    <row r="1">
      <c r="A1" s="2" t="s">
        <v>358</v>
      </c>
    </row>
    <row r="2">
      <c r="A2" s="5" t="s">
        <v>28</v>
      </c>
      <c r="C2" s="7">
        <v>46194.0</v>
      </c>
      <c r="E2" s="10" t="s">
        <v>174</v>
      </c>
    </row>
    <row r="3">
      <c r="E3" s="10" t="s">
        <v>61</v>
      </c>
    </row>
    <row r="4">
      <c r="A4" s="4" t="s">
        <v>67</v>
      </c>
      <c r="B4" s="4" t="s">
        <v>69</v>
      </c>
      <c r="C4" s="4" t="s">
        <v>71</v>
      </c>
      <c r="D4" s="4" t="s">
        <v>15</v>
      </c>
      <c r="E4" s="4" t="s">
        <v>72</v>
      </c>
      <c r="F4" s="4" t="s">
        <v>74</v>
      </c>
      <c r="G4" s="4" t="s">
        <v>77</v>
      </c>
      <c r="H4" s="4" t="s">
        <v>79</v>
      </c>
      <c r="I4" s="4" t="s">
        <v>81</v>
      </c>
      <c r="J4" s="4" t="s">
        <v>84</v>
      </c>
      <c r="K4" s="4" t="s">
        <v>85</v>
      </c>
      <c r="L4" s="4" t="s">
        <v>87</v>
      </c>
      <c r="M4" s="4" t="s">
        <v>90</v>
      </c>
      <c r="N4" s="11" t="s">
        <v>97</v>
      </c>
    </row>
    <row r="5">
      <c r="A5" s="6">
        <v>1.0</v>
      </c>
      <c r="B5" s="12">
        <f t="shared" ref="B5:B6" si="1">$C$2+7*(1-1)</f>
        <v>46194</v>
      </c>
      <c r="C5" s="13" t="s">
        <v>142</v>
      </c>
      <c r="D5" s="6" t="s">
        <v>109</v>
      </c>
      <c r="E5" s="6" t="s">
        <v>396</v>
      </c>
      <c r="F5" s="6" t="s">
        <v>397</v>
      </c>
      <c r="G5" s="6"/>
      <c r="H5" s="6"/>
      <c r="I5" s="6" t="s">
        <v>153</v>
      </c>
      <c r="J5" s="6"/>
      <c r="K5" s="6"/>
      <c r="L5" s="6" t="s">
        <v>400</v>
      </c>
      <c r="M5" s="6" t="s">
        <v>402</v>
      </c>
      <c r="N5" s="14"/>
    </row>
    <row r="6">
      <c r="A6" s="6">
        <v>1.0</v>
      </c>
      <c r="B6" s="12">
        <f t="shared" si="1"/>
        <v>46194</v>
      </c>
      <c r="C6" s="13" t="s">
        <v>142</v>
      </c>
      <c r="D6" s="6" t="s">
        <v>118</v>
      </c>
      <c r="E6" s="6" t="s">
        <v>148</v>
      </c>
      <c r="F6" s="6" t="s">
        <v>408</v>
      </c>
      <c r="G6" s="6"/>
      <c r="H6" s="6"/>
      <c r="I6" s="6" t="s">
        <v>153</v>
      </c>
      <c r="J6" s="6"/>
      <c r="K6" s="6"/>
      <c r="L6" s="6" t="s">
        <v>155</v>
      </c>
      <c r="M6" s="6" t="s">
        <v>402</v>
      </c>
      <c r="N6" s="14"/>
    </row>
    <row r="7">
      <c r="A7" s="6">
        <v>2.0</v>
      </c>
      <c r="B7" s="12">
        <f t="shared" ref="B7:B8" si="2">$C$2+7*(2-1)</f>
        <v>46201</v>
      </c>
      <c r="C7" s="13" t="s">
        <v>142</v>
      </c>
      <c r="D7" s="6" t="s">
        <v>109</v>
      </c>
      <c r="E7" s="6" t="s">
        <v>396</v>
      </c>
      <c r="F7" s="6" t="s">
        <v>416</v>
      </c>
      <c r="G7" s="6"/>
      <c r="H7" s="6"/>
      <c r="I7" s="6" t="s">
        <v>153</v>
      </c>
      <c r="J7" s="6"/>
      <c r="K7" s="6"/>
      <c r="L7" s="6" t="s">
        <v>400</v>
      </c>
      <c r="M7" s="6" t="s">
        <v>402</v>
      </c>
      <c r="N7" s="14"/>
    </row>
    <row r="8">
      <c r="A8" s="6">
        <v>2.0</v>
      </c>
      <c r="B8" s="12">
        <f t="shared" si="2"/>
        <v>46201</v>
      </c>
      <c r="C8" s="13" t="s">
        <v>142</v>
      </c>
      <c r="D8" s="6" t="s">
        <v>118</v>
      </c>
      <c r="E8" s="6" t="s">
        <v>148</v>
      </c>
      <c r="F8" s="6" t="s">
        <v>408</v>
      </c>
      <c r="G8" s="6"/>
      <c r="H8" s="6"/>
      <c r="I8" s="6" t="s">
        <v>153</v>
      </c>
      <c r="J8" s="6"/>
      <c r="K8" s="6"/>
      <c r="L8" s="6" t="s">
        <v>155</v>
      </c>
      <c r="M8" s="6" t="s">
        <v>402</v>
      </c>
      <c r="N8" s="14"/>
    </row>
    <row r="9">
      <c r="A9" s="6">
        <v>3.0</v>
      </c>
      <c r="B9" s="12">
        <f t="shared" ref="B9:B10" si="3">$C$2+7*(3-1)</f>
        <v>46208</v>
      </c>
      <c r="C9" s="13" t="s">
        <v>142</v>
      </c>
      <c r="D9" s="6" t="s">
        <v>109</v>
      </c>
      <c r="E9" s="6" t="s">
        <v>396</v>
      </c>
      <c r="F9" s="15" t="s">
        <v>428</v>
      </c>
      <c r="G9" s="6"/>
      <c r="H9" s="6"/>
      <c r="I9" s="16" t="s">
        <v>46</v>
      </c>
      <c r="J9" s="6"/>
      <c r="K9" s="6"/>
      <c r="L9" s="6" t="s">
        <v>432</v>
      </c>
      <c r="M9" s="6" t="s">
        <v>433</v>
      </c>
      <c r="N9" s="14"/>
    </row>
    <row r="10">
      <c r="A10" s="6">
        <v>3.0</v>
      </c>
      <c r="B10" s="12">
        <f t="shared" si="3"/>
        <v>46208</v>
      </c>
      <c r="C10" s="13" t="s">
        <v>142</v>
      </c>
      <c r="D10" s="6" t="s">
        <v>118</v>
      </c>
      <c r="E10" s="6" t="s">
        <v>148</v>
      </c>
      <c r="F10" s="6" t="s">
        <v>437</v>
      </c>
      <c r="G10" s="6"/>
      <c r="H10" s="6"/>
      <c r="I10" s="6" t="s">
        <v>153</v>
      </c>
      <c r="J10" s="6"/>
      <c r="K10" s="6"/>
      <c r="L10" s="6" t="s">
        <v>438</v>
      </c>
      <c r="M10" s="6" t="s">
        <v>402</v>
      </c>
      <c r="N10" s="14"/>
    </row>
    <row r="11">
      <c r="A11" s="6">
        <v>4.0</v>
      </c>
      <c r="B11" s="12">
        <f t="shared" ref="B11:B12" si="4">$C$2+7*(4-1)</f>
        <v>46215</v>
      </c>
      <c r="C11" s="17" t="s">
        <v>163</v>
      </c>
      <c r="D11" s="6" t="s">
        <v>109</v>
      </c>
      <c r="E11" s="6" t="s">
        <v>396</v>
      </c>
      <c r="F11" s="6" t="s">
        <v>450</v>
      </c>
      <c r="G11" s="6" t="s">
        <v>451</v>
      </c>
      <c r="H11" s="6">
        <v>2.0</v>
      </c>
      <c r="I11" s="6" t="s">
        <v>175</v>
      </c>
      <c r="J11" s="6" t="s">
        <v>452</v>
      </c>
      <c r="K11" s="6" t="s">
        <v>233</v>
      </c>
      <c r="L11" s="6" t="s">
        <v>453</v>
      </c>
      <c r="M11" s="6" t="s">
        <v>454</v>
      </c>
      <c r="N11" s="14"/>
    </row>
    <row r="12">
      <c r="A12" s="6">
        <v>4.0</v>
      </c>
      <c r="B12" s="12">
        <f t="shared" si="4"/>
        <v>46215</v>
      </c>
      <c r="C12" s="17" t="s">
        <v>163</v>
      </c>
      <c r="D12" s="6" t="s">
        <v>118</v>
      </c>
      <c r="E12" s="6" t="s">
        <v>148</v>
      </c>
      <c r="F12" s="6" t="s">
        <v>456</v>
      </c>
      <c r="G12" s="6" t="s">
        <v>458</v>
      </c>
      <c r="H12" s="6">
        <v>4.0</v>
      </c>
      <c r="I12" s="6" t="s">
        <v>175</v>
      </c>
      <c r="J12" s="6"/>
      <c r="K12" s="6" t="s">
        <v>233</v>
      </c>
      <c r="L12" s="6"/>
      <c r="M12" s="6" t="s">
        <v>456</v>
      </c>
      <c r="N12" s="14"/>
    </row>
    <row r="13">
      <c r="A13" s="6">
        <v>5.0</v>
      </c>
      <c r="B13" s="12">
        <f t="shared" ref="B13:B14" si="5">$C$2+7*(5-1)</f>
        <v>46222</v>
      </c>
      <c r="C13" s="17" t="s">
        <v>163</v>
      </c>
      <c r="D13" s="6" t="s">
        <v>109</v>
      </c>
      <c r="E13" s="6" t="s">
        <v>396</v>
      </c>
      <c r="F13" s="6" t="s">
        <v>473</v>
      </c>
      <c r="G13" s="6" t="s">
        <v>475</v>
      </c>
      <c r="H13" s="6">
        <v>4.0</v>
      </c>
      <c r="I13" s="6" t="s">
        <v>175</v>
      </c>
      <c r="J13" s="6"/>
      <c r="K13" s="6" t="s">
        <v>233</v>
      </c>
      <c r="L13" s="6"/>
      <c r="M13" s="6" t="s">
        <v>477</v>
      </c>
      <c r="N13" s="14"/>
    </row>
    <row r="14">
      <c r="A14" s="6">
        <v>5.0</v>
      </c>
      <c r="B14" s="12">
        <f t="shared" si="5"/>
        <v>46222</v>
      </c>
      <c r="C14" s="17" t="s">
        <v>163</v>
      </c>
      <c r="D14" s="6" t="s">
        <v>118</v>
      </c>
      <c r="E14" s="6" t="s">
        <v>148</v>
      </c>
      <c r="F14" s="6" t="s">
        <v>479</v>
      </c>
      <c r="G14" s="6"/>
      <c r="H14" s="6"/>
      <c r="I14" s="6" t="s">
        <v>204</v>
      </c>
      <c r="J14" s="6"/>
      <c r="K14" s="6" t="s">
        <v>233</v>
      </c>
      <c r="L14" s="6"/>
      <c r="M14" s="6" t="s">
        <v>484</v>
      </c>
      <c r="N14" s="14"/>
    </row>
    <row r="15">
      <c r="A15" s="6">
        <v>6.0</v>
      </c>
      <c r="B15" s="12">
        <f t="shared" ref="B15:B16" si="6">$C$2+7*(6-1)</f>
        <v>46229</v>
      </c>
      <c r="C15" s="17" t="s">
        <v>163</v>
      </c>
      <c r="D15" s="6" t="s">
        <v>109</v>
      </c>
      <c r="E15" s="6" t="s">
        <v>396</v>
      </c>
      <c r="F15" s="6" t="s">
        <v>493</v>
      </c>
      <c r="G15" s="6" t="s">
        <v>495</v>
      </c>
      <c r="H15" s="6">
        <v>2.0</v>
      </c>
      <c r="I15" s="6" t="s">
        <v>175</v>
      </c>
      <c r="J15" s="6" t="s">
        <v>496</v>
      </c>
      <c r="K15" s="6" t="s">
        <v>233</v>
      </c>
      <c r="L15" s="6" t="s">
        <v>498</v>
      </c>
      <c r="M15" s="6" t="s">
        <v>499</v>
      </c>
      <c r="N15" s="14"/>
    </row>
    <row r="16">
      <c r="A16" s="6">
        <v>6.0</v>
      </c>
      <c r="B16" s="12">
        <f t="shared" si="6"/>
        <v>46229</v>
      </c>
      <c r="C16" s="17" t="s">
        <v>163</v>
      </c>
      <c r="D16" s="6" t="s">
        <v>118</v>
      </c>
      <c r="E16" s="6" t="s">
        <v>148</v>
      </c>
      <c r="F16" s="6" t="s">
        <v>502</v>
      </c>
      <c r="G16" s="6" t="s">
        <v>504</v>
      </c>
      <c r="H16" s="6">
        <v>3.0</v>
      </c>
      <c r="I16" s="6" t="s">
        <v>175</v>
      </c>
      <c r="J16" s="6" t="s">
        <v>506</v>
      </c>
      <c r="K16" s="6" t="s">
        <v>233</v>
      </c>
      <c r="L16" s="6"/>
      <c r="M16" s="6" t="s">
        <v>508</v>
      </c>
      <c r="N16" s="14"/>
    </row>
    <row r="17">
      <c r="A17" s="6">
        <v>7.0</v>
      </c>
      <c r="B17" s="12">
        <f t="shared" ref="B17:B18" si="7">$C$2+7*(7-1)</f>
        <v>46236</v>
      </c>
      <c r="C17" s="17" t="s">
        <v>163</v>
      </c>
      <c r="D17" s="6" t="s">
        <v>109</v>
      </c>
      <c r="E17" s="6" t="s">
        <v>396</v>
      </c>
      <c r="F17" s="6" t="s">
        <v>524</v>
      </c>
      <c r="G17" s="6"/>
      <c r="H17" s="6"/>
      <c r="I17" s="6" t="s">
        <v>204</v>
      </c>
      <c r="J17" s="6"/>
      <c r="K17" s="6" t="s">
        <v>233</v>
      </c>
      <c r="L17" s="6" t="s">
        <v>529</v>
      </c>
      <c r="M17" s="6" t="s">
        <v>499</v>
      </c>
      <c r="N17" s="14"/>
    </row>
    <row r="18">
      <c r="A18" s="6">
        <v>7.0</v>
      </c>
      <c r="B18" s="12">
        <f t="shared" si="7"/>
        <v>46236</v>
      </c>
      <c r="C18" s="17" t="s">
        <v>163</v>
      </c>
      <c r="D18" s="6" t="s">
        <v>118</v>
      </c>
      <c r="E18" s="6" t="s">
        <v>148</v>
      </c>
      <c r="F18" s="6" t="s">
        <v>534</v>
      </c>
      <c r="G18" s="6"/>
      <c r="H18" s="6"/>
      <c r="I18" s="6" t="s">
        <v>204</v>
      </c>
      <c r="J18" s="6" t="s">
        <v>535</v>
      </c>
      <c r="K18" s="6" t="s">
        <v>233</v>
      </c>
      <c r="L18" s="6" t="s">
        <v>537</v>
      </c>
      <c r="M18" s="6" t="s">
        <v>538</v>
      </c>
      <c r="N18" s="14"/>
    </row>
    <row r="19">
      <c r="A19" s="6">
        <v>8.0</v>
      </c>
      <c r="B19" s="12">
        <f t="shared" ref="B19:B20" si="8">$C$2+7*(8-1)</f>
        <v>46243</v>
      </c>
      <c r="C19" s="17" t="s">
        <v>163</v>
      </c>
      <c r="D19" s="6" t="s">
        <v>109</v>
      </c>
      <c r="E19" s="6" t="s">
        <v>396</v>
      </c>
      <c r="F19" s="6" t="s">
        <v>547</v>
      </c>
      <c r="G19" s="6" t="s">
        <v>550</v>
      </c>
      <c r="H19" s="6">
        <v>3.0</v>
      </c>
      <c r="I19" s="6" t="s">
        <v>175</v>
      </c>
      <c r="J19" s="6" t="s">
        <v>552</v>
      </c>
      <c r="K19" s="6" t="s">
        <v>233</v>
      </c>
      <c r="L19" s="6"/>
      <c r="M19" s="6" t="s">
        <v>554</v>
      </c>
      <c r="N19" s="14"/>
    </row>
    <row r="20">
      <c r="A20" s="6">
        <v>8.0</v>
      </c>
      <c r="B20" s="12">
        <f t="shared" si="8"/>
        <v>46243</v>
      </c>
      <c r="C20" s="17" t="s">
        <v>163</v>
      </c>
      <c r="D20" s="6" t="s">
        <v>118</v>
      </c>
      <c r="E20" s="6" t="s">
        <v>148</v>
      </c>
      <c r="F20" s="6" t="s">
        <v>559</v>
      </c>
      <c r="G20" s="6"/>
      <c r="H20" s="6"/>
      <c r="I20" s="6" t="s">
        <v>204</v>
      </c>
      <c r="J20" s="6" t="s">
        <v>560</v>
      </c>
      <c r="K20" s="6" t="s">
        <v>233</v>
      </c>
      <c r="L20" s="6"/>
      <c r="M20" s="6" t="s">
        <v>554</v>
      </c>
      <c r="N20" s="14"/>
    </row>
    <row r="21" ht="15.75" customHeight="1">
      <c r="A21" s="6">
        <v>9.0</v>
      </c>
      <c r="B21" s="12">
        <f t="shared" ref="B21:B22" si="9">$C$2+7*(9-1)</f>
        <v>46250</v>
      </c>
      <c r="C21" s="17" t="s">
        <v>163</v>
      </c>
      <c r="D21" s="6" t="s">
        <v>109</v>
      </c>
      <c r="E21" s="6" t="s">
        <v>396</v>
      </c>
      <c r="F21" s="6" t="s">
        <v>567</v>
      </c>
      <c r="G21" s="6" t="s">
        <v>569</v>
      </c>
      <c r="H21" s="6">
        <v>2.0</v>
      </c>
      <c r="I21" s="6" t="s">
        <v>175</v>
      </c>
      <c r="J21" s="6" t="s">
        <v>572</v>
      </c>
      <c r="K21" s="6" t="s">
        <v>233</v>
      </c>
      <c r="L21" s="6"/>
      <c r="M21" s="6" t="s">
        <v>574</v>
      </c>
      <c r="N21" s="14"/>
    </row>
    <row r="22" ht="15.75" customHeight="1">
      <c r="A22" s="6">
        <v>9.0</v>
      </c>
      <c r="B22" s="12">
        <f t="shared" si="9"/>
        <v>46250</v>
      </c>
      <c r="C22" s="17" t="s">
        <v>163</v>
      </c>
      <c r="D22" s="6" t="s">
        <v>118</v>
      </c>
      <c r="E22" s="6" t="s">
        <v>148</v>
      </c>
      <c r="F22" s="20" t="s">
        <v>580</v>
      </c>
      <c r="G22" s="6"/>
      <c r="H22" s="6"/>
      <c r="I22" s="21" t="s">
        <v>288</v>
      </c>
      <c r="J22" s="6" t="s">
        <v>582</v>
      </c>
      <c r="K22" s="6" t="s">
        <v>233</v>
      </c>
      <c r="L22" s="6" t="s">
        <v>332</v>
      </c>
      <c r="M22" s="6" t="s">
        <v>584</v>
      </c>
      <c r="N22" s="14"/>
    </row>
    <row r="23" ht="15.75" customHeight="1">
      <c r="A23" s="6">
        <v>10.0</v>
      </c>
      <c r="B23" s="12">
        <f t="shared" ref="B23:B24" si="10">$C$2+7*(10-1)</f>
        <v>46257</v>
      </c>
      <c r="C23" s="17" t="s">
        <v>163</v>
      </c>
      <c r="D23" s="6" t="s">
        <v>109</v>
      </c>
      <c r="E23" s="6" t="s">
        <v>396</v>
      </c>
      <c r="F23" s="6" t="s">
        <v>591</v>
      </c>
      <c r="G23" s="6" t="s">
        <v>592</v>
      </c>
      <c r="H23" s="6">
        <v>3.0</v>
      </c>
      <c r="I23" s="6" t="s">
        <v>175</v>
      </c>
      <c r="J23" s="6" t="s">
        <v>594</v>
      </c>
      <c r="K23" s="6" t="s">
        <v>233</v>
      </c>
      <c r="L23" s="6"/>
      <c r="M23" s="6" t="s">
        <v>595</v>
      </c>
      <c r="N23" s="14"/>
    </row>
    <row r="24" ht="15.75" customHeight="1">
      <c r="A24" s="6">
        <v>10.0</v>
      </c>
      <c r="B24" s="12">
        <f t="shared" si="10"/>
        <v>46257</v>
      </c>
      <c r="C24" s="17" t="s">
        <v>163</v>
      </c>
      <c r="D24" s="6" t="s">
        <v>118</v>
      </c>
      <c r="E24" s="6" t="s">
        <v>148</v>
      </c>
      <c r="F24" s="19" t="s">
        <v>276</v>
      </c>
      <c r="G24" s="6"/>
      <c r="H24" s="6"/>
      <c r="I24" s="19" t="s">
        <v>280</v>
      </c>
      <c r="J24" s="6"/>
      <c r="K24" s="6" t="s">
        <v>233</v>
      </c>
      <c r="L24" s="6" t="s">
        <v>604</v>
      </c>
      <c r="M24" s="6" t="s">
        <v>584</v>
      </c>
      <c r="N24" s="14"/>
    </row>
    <row r="25" ht="15.75" customHeight="1">
      <c r="A25" s="6">
        <v>11.0</v>
      </c>
      <c r="B25" s="12">
        <f t="shared" ref="B25:B26" si="11">$C$2+7*(11-1)</f>
        <v>46264</v>
      </c>
      <c r="C25" s="17" t="s">
        <v>163</v>
      </c>
      <c r="D25" s="6" t="s">
        <v>109</v>
      </c>
      <c r="E25" s="6" t="s">
        <v>396</v>
      </c>
      <c r="F25" s="6" t="s">
        <v>608</v>
      </c>
      <c r="G25" s="6"/>
      <c r="H25" s="6"/>
      <c r="I25" s="6" t="s">
        <v>204</v>
      </c>
      <c r="J25" s="6" t="s">
        <v>611</v>
      </c>
      <c r="K25" s="6" t="s">
        <v>233</v>
      </c>
      <c r="L25" s="6" t="s">
        <v>612</v>
      </c>
      <c r="M25" s="6" t="s">
        <v>595</v>
      </c>
      <c r="N25" s="14"/>
    </row>
    <row r="26" ht="15.75" customHeight="1">
      <c r="A26" s="6">
        <v>11.0</v>
      </c>
      <c r="B26" s="12">
        <f t="shared" si="11"/>
        <v>46264</v>
      </c>
      <c r="C26" s="17" t="s">
        <v>163</v>
      </c>
      <c r="D26" s="6" t="s">
        <v>118</v>
      </c>
      <c r="E26" s="6" t="s">
        <v>148</v>
      </c>
      <c r="F26" s="6" t="s">
        <v>616</v>
      </c>
      <c r="G26" s="6" t="s">
        <v>618</v>
      </c>
      <c r="H26" s="6">
        <v>4.0</v>
      </c>
      <c r="I26" s="6" t="s">
        <v>167</v>
      </c>
      <c r="J26" s="6"/>
      <c r="K26" s="6" t="s">
        <v>233</v>
      </c>
      <c r="L26" s="6" t="s">
        <v>621</v>
      </c>
      <c r="M26" s="6" t="s">
        <v>623</v>
      </c>
      <c r="N26" s="14"/>
    </row>
    <row r="27" ht="15.75" customHeight="1">
      <c r="A27" s="6">
        <v>12.0</v>
      </c>
      <c r="B27" s="12">
        <f t="shared" ref="B27:B28" si="12">$C$2+7*(12-1)</f>
        <v>46271</v>
      </c>
      <c r="C27" s="17" t="s">
        <v>163</v>
      </c>
      <c r="D27" s="6" t="s">
        <v>109</v>
      </c>
      <c r="E27" s="6" t="s">
        <v>396</v>
      </c>
      <c r="F27" s="20" t="s">
        <v>625</v>
      </c>
      <c r="G27" s="6"/>
      <c r="H27" s="6"/>
      <c r="I27" s="21" t="s">
        <v>288</v>
      </c>
      <c r="J27" s="6" t="s">
        <v>627</v>
      </c>
      <c r="K27" s="6" t="s">
        <v>233</v>
      </c>
      <c r="L27" s="6" t="s">
        <v>628</v>
      </c>
      <c r="M27" s="6" t="s">
        <v>629</v>
      </c>
      <c r="N27" s="14"/>
    </row>
    <row r="28" ht="15.75" customHeight="1">
      <c r="A28" s="6">
        <v>12.0</v>
      </c>
      <c r="B28" s="12">
        <f t="shared" si="12"/>
        <v>46271</v>
      </c>
      <c r="C28" s="17" t="s">
        <v>163</v>
      </c>
      <c r="D28" s="6" t="s">
        <v>118</v>
      </c>
      <c r="E28" s="6" t="s">
        <v>148</v>
      </c>
      <c r="F28" s="6" t="s">
        <v>634</v>
      </c>
      <c r="G28" s="6" t="s">
        <v>635</v>
      </c>
      <c r="H28" s="6">
        <v>2.0</v>
      </c>
      <c r="I28" s="6" t="s">
        <v>175</v>
      </c>
      <c r="J28" s="6" t="s">
        <v>636</v>
      </c>
      <c r="K28" s="6" t="s">
        <v>233</v>
      </c>
      <c r="L28" s="6"/>
      <c r="M28" s="6" t="s">
        <v>637</v>
      </c>
      <c r="N28" s="14"/>
    </row>
    <row r="29" ht="15.75" customHeight="1">
      <c r="A29" s="6">
        <v>13.0</v>
      </c>
      <c r="B29" s="12">
        <f t="shared" ref="B29:B30" si="13">$C$2+7*(13-1)</f>
        <v>46278</v>
      </c>
      <c r="C29" s="17" t="s">
        <v>163</v>
      </c>
      <c r="D29" s="6" t="s">
        <v>109</v>
      </c>
      <c r="E29" s="6" t="s">
        <v>396</v>
      </c>
      <c r="F29" s="19" t="s">
        <v>642</v>
      </c>
      <c r="G29" s="6"/>
      <c r="H29" s="6"/>
      <c r="I29" s="19" t="s">
        <v>280</v>
      </c>
      <c r="J29" s="6"/>
      <c r="K29" s="6" t="s">
        <v>233</v>
      </c>
      <c r="L29" s="6"/>
      <c r="M29" s="6" t="s">
        <v>644</v>
      </c>
      <c r="N29" s="14"/>
    </row>
    <row r="30" ht="15.75" customHeight="1">
      <c r="A30" s="6">
        <v>13.0</v>
      </c>
      <c r="B30" s="12">
        <f t="shared" si="13"/>
        <v>46278</v>
      </c>
      <c r="C30" s="17" t="s">
        <v>163</v>
      </c>
      <c r="D30" s="6" t="s">
        <v>118</v>
      </c>
      <c r="E30" s="6" t="s">
        <v>148</v>
      </c>
      <c r="F30" s="6" t="s">
        <v>652</v>
      </c>
      <c r="G30" s="6" t="s">
        <v>653</v>
      </c>
      <c r="H30" s="6">
        <v>2.0</v>
      </c>
      <c r="I30" s="6" t="s">
        <v>175</v>
      </c>
      <c r="J30" s="6"/>
      <c r="K30" s="6" t="s">
        <v>233</v>
      </c>
      <c r="L30" s="6"/>
      <c r="M30" s="6" t="s">
        <v>637</v>
      </c>
      <c r="N30" s="14"/>
    </row>
    <row r="31" ht="15.75" customHeight="1">
      <c r="A31" s="6">
        <v>14.0</v>
      </c>
      <c r="B31" s="12">
        <f t="shared" ref="B31:B32" si="14">$C$2+7*(14-1)</f>
        <v>46285</v>
      </c>
      <c r="C31" s="17" t="s">
        <v>163</v>
      </c>
      <c r="D31" s="6" t="s">
        <v>109</v>
      </c>
      <c r="E31" s="6" t="s">
        <v>396</v>
      </c>
      <c r="F31" s="6" t="s">
        <v>661</v>
      </c>
      <c r="G31" s="6" t="s">
        <v>662</v>
      </c>
      <c r="H31" s="6">
        <v>4.0</v>
      </c>
      <c r="I31" s="6" t="s">
        <v>167</v>
      </c>
      <c r="J31" s="6"/>
      <c r="K31" s="6" t="s">
        <v>233</v>
      </c>
      <c r="L31" s="6" t="s">
        <v>663</v>
      </c>
      <c r="M31" s="6" t="s">
        <v>644</v>
      </c>
      <c r="N31" s="14"/>
    </row>
    <row r="32" ht="15.75" customHeight="1">
      <c r="A32" s="6">
        <v>14.0</v>
      </c>
      <c r="B32" s="12">
        <f t="shared" si="14"/>
        <v>46285</v>
      </c>
      <c r="C32" s="17" t="s">
        <v>163</v>
      </c>
      <c r="D32" s="6" t="s">
        <v>118</v>
      </c>
      <c r="E32" s="6" t="s">
        <v>148</v>
      </c>
      <c r="F32" s="6" t="s">
        <v>670</v>
      </c>
      <c r="G32" s="6"/>
      <c r="H32" s="6"/>
      <c r="I32" s="6" t="s">
        <v>204</v>
      </c>
      <c r="J32" s="6"/>
      <c r="K32" s="6" t="s">
        <v>233</v>
      </c>
      <c r="L32" s="6" t="s">
        <v>249</v>
      </c>
      <c r="M32" s="6" t="s">
        <v>671</v>
      </c>
      <c r="N32" s="14"/>
    </row>
    <row r="33" ht="15.75" customHeight="1">
      <c r="A33" s="6">
        <v>15.0</v>
      </c>
      <c r="B33" s="12">
        <f t="shared" ref="B33:B34" si="15">$C$2+7*(15-1)</f>
        <v>46292</v>
      </c>
      <c r="C33" s="17" t="s">
        <v>163</v>
      </c>
      <c r="D33" s="6" t="s">
        <v>109</v>
      </c>
      <c r="E33" s="6" t="s">
        <v>396</v>
      </c>
      <c r="F33" s="6" t="s">
        <v>681</v>
      </c>
      <c r="G33" s="6" t="s">
        <v>682</v>
      </c>
      <c r="H33" s="6">
        <v>4.0</v>
      </c>
      <c r="I33" s="6" t="s">
        <v>167</v>
      </c>
      <c r="J33" s="6" t="s">
        <v>684</v>
      </c>
      <c r="K33" s="6" t="s">
        <v>233</v>
      </c>
      <c r="L33" s="6" t="s">
        <v>686</v>
      </c>
      <c r="M33" s="6" t="s">
        <v>644</v>
      </c>
      <c r="N33" s="14"/>
    </row>
    <row r="34" ht="15.75" customHeight="1">
      <c r="A34" s="6">
        <v>15.0</v>
      </c>
      <c r="B34" s="12">
        <f t="shared" si="15"/>
        <v>46292</v>
      </c>
      <c r="C34" s="17" t="s">
        <v>163</v>
      </c>
      <c r="D34" s="6" t="s">
        <v>118</v>
      </c>
      <c r="E34" s="6" t="s">
        <v>148</v>
      </c>
      <c r="F34" s="6" t="s">
        <v>691</v>
      </c>
      <c r="G34" s="6" t="s">
        <v>692</v>
      </c>
      <c r="H34" s="6">
        <v>2.0</v>
      </c>
      <c r="I34" s="6" t="s">
        <v>175</v>
      </c>
      <c r="J34" s="6"/>
      <c r="K34" s="6" t="s">
        <v>233</v>
      </c>
      <c r="L34" s="6" t="s">
        <v>696</v>
      </c>
      <c r="M34" s="6" t="s">
        <v>697</v>
      </c>
      <c r="N34" s="14"/>
    </row>
    <row r="35" ht="15.75" customHeight="1">
      <c r="A35" s="6">
        <v>16.0</v>
      </c>
      <c r="B35" s="12">
        <f t="shared" ref="B35:B36" si="16">$C$2+7*(16-1)</f>
        <v>46299</v>
      </c>
      <c r="C35" s="17" t="s">
        <v>163</v>
      </c>
      <c r="D35" s="6" t="s">
        <v>109</v>
      </c>
      <c r="E35" s="6" t="s">
        <v>396</v>
      </c>
      <c r="F35" s="19" t="s">
        <v>707</v>
      </c>
      <c r="G35" s="6"/>
      <c r="H35" s="6"/>
      <c r="I35" s="19" t="s">
        <v>280</v>
      </c>
      <c r="J35" s="6"/>
      <c r="K35" s="6" t="s">
        <v>233</v>
      </c>
      <c r="L35" s="6"/>
      <c r="M35" s="6" t="s">
        <v>711</v>
      </c>
      <c r="N35" s="14"/>
    </row>
    <row r="36" ht="15.75" customHeight="1">
      <c r="A36" s="6">
        <v>16.0</v>
      </c>
      <c r="B36" s="12">
        <f t="shared" si="16"/>
        <v>46299</v>
      </c>
      <c r="C36" s="17" t="s">
        <v>163</v>
      </c>
      <c r="D36" s="6" t="s">
        <v>118</v>
      </c>
      <c r="E36" s="6" t="s">
        <v>148</v>
      </c>
      <c r="F36" s="19" t="s">
        <v>417</v>
      </c>
      <c r="G36" s="6"/>
      <c r="H36" s="6"/>
      <c r="I36" s="19" t="s">
        <v>280</v>
      </c>
      <c r="J36" s="6"/>
      <c r="K36" s="6" t="s">
        <v>233</v>
      </c>
      <c r="L36" s="6"/>
      <c r="M36" s="6" t="s">
        <v>711</v>
      </c>
      <c r="N36" s="14"/>
    </row>
    <row r="37" ht="15.75" customHeight="1">
      <c r="A37" s="6">
        <v>17.0</v>
      </c>
      <c r="B37" s="12">
        <f t="shared" ref="B37:B38" si="17">$C$2+7*(17-1)</f>
        <v>46306</v>
      </c>
      <c r="C37" s="17" t="s">
        <v>163</v>
      </c>
      <c r="D37" s="6" t="s">
        <v>109</v>
      </c>
      <c r="E37" s="6" t="s">
        <v>396</v>
      </c>
      <c r="F37" s="15" t="s">
        <v>723</v>
      </c>
      <c r="G37" s="6"/>
      <c r="H37" s="6"/>
      <c r="I37" s="16" t="s">
        <v>46</v>
      </c>
      <c r="J37" s="6"/>
      <c r="K37" s="6"/>
      <c r="L37" s="6"/>
      <c r="M37" s="6" t="s">
        <v>728</v>
      </c>
      <c r="N37" s="14"/>
    </row>
    <row r="38" ht="15.75" customHeight="1">
      <c r="A38" s="6">
        <v>17.0</v>
      </c>
      <c r="B38" s="12">
        <f t="shared" si="17"/>
        <v>46306</v>
      </c>
      <c r="C38" s="17" t="s">
        <v>163</v>
      </c>
      <c r="D38" s="6" t="s">
        <v>118</v>
      </c>
      <c r="E38" s="6" t="s">
        <v>148</v>
      </c>
      <c r="F38" s="22" t="s">
        <v>738</v>
      </c>
      <c r="G38" s="6"/>
      <c r="H38" s="6"/>
      <c r="I38" s="22" t="s">
        <v>326</v>
      </c>
      <c r="J38" s="6"/>
      <c r="K38" s="6"/>
      <c r="L38" s="6" t="s">
        <v>327</v>
      </c>
      <c r="M38" s="6" t="s">
        <v>728</v>
      </c>
      <c r="N38" s="14"/>
    </row>
    <row r="39" ht="15.75" customHeight="1">
      <c r="A39" s="6">
        <v>18.0</v>
      </c>
      <c r="B39" s="12">
        <f t="shared" ref="B39:B40" si="18">$C$2+7*(18-1)</f>
        <v>46313</v>
      </c>
      <c r="C39" s="17" t="s">
        <v>163</v>
      </c>
      <c r="D39" s="6" t="s">
        <v>109</v>
      </c>
      <c r="E39" s="6" t="s">
        <v>396</v>
      </c>
      <c r="F39" s="15" t="s">
        <v>750</v>
      </c>
      <c r="G39" s="6"/>
      <c r="H39" s="6"/>
      <c r="I39" s="16" t="s">
        <v>46</v>
      </c>
      <c r="J39" s="6"/>
      <c r="K39" s="6"/>
      <c r="L39" s="6" t="s">
        <v>339</v>
      </c>
      <c r="M39" s="6"/>
      <c r="N39" s="14"/>
    </row>
    <row r="40" ht="15.75" customHeight="1">
      <c r="A40" s="6">
        <v>18.0</v>
      </c>
      <c r="B40" s="12">
        <f t="shared" si="18"/>
        <v>46313</v>
      </c>
      <c r="C40" s="17" t="s">
        <v>163</v>
      </c>
      <c r="D40" s="6" t="s">
        <v>118</v>
      </c>
      <c r="E40" s="6" t="s">
        <v>148</v>
      </c>
      <c r="F40" s="22" t="s">
        <v>757</v>
      </c>
      <c r="G40" s="6"/>
      <c r="H40" s="6"/>
      <c r="I40" s="22" t="s">
        <v>326</v>
      </c>
      <c r="J40" s="6"/>
      <c r="K40" s="6"/>
      <c r="L40" s="6" t="s">
        <v>327</v>
      </c>
      <c r="M40" s="6" t="s">
        <v>759</v>
      </c>
      <c r="N40" s="14"/>
    </row>
    <row r="41" ht="15.75" customHeight="1">
      <c r="A41" s="6">
        <v>19.0</v>
      </c>
      <c r="B41" s="12">
        <f t="shared" ref="B41:B42" si="19">$C$2+7*(19-1)</f>
        <v>46320</v>
      </c>
      <c r="C41" s="23" t="s">
        <v>352</v>
      </c>
      <c r="D41" s="6" t="s">
        <v>109</v>
      </c>
      <c r="E41" s="6" t="s">
        <v>396</v>
      </c>
      <c r="F41" s="6" t="s">
        <v>766</v>
      </c>
      <c r="G41" s="6"/>
      <c r="H41" s="6"/>
      <c r="I41" s="6" t="s">
        <v>204</v>
      </c>
      <c r="J41" s="6" t="s">
        <v>684</v>
      </c>
      <c r="K41" s="6" t="s">
        <v>465</v>
      </c>
      <c r="L41" s="6" t="s">
        <v>414</v>
      </c>
      <c r="M41" s="6" t="s">
        <v>773</v>
      </c>
      <c r="N41" s="14"/>
    </row>
    <row r="42" ht="15.75" customHeight="1">
      <c r="A42" s="6">
        <v>19.0</v>
      </c>
      <c r="B42" s="12">
        <f t="shared" si="19"/>
        <v>46320</v>
      </c>
      <c r="C42" s="23" t="s">
        <v>352</v>
      </c>
      <c r="D42" s="6" t="s">
        <v>118</v>
      </c>
      <c r="E42" s="6" t="s">
        <v>148</v>
      </c>
      <c r="F42" s="6" t="s">
        <v>778</v>
      </c>
      <c r="G42" s="6"/>
      <c r="H42" s="6"/>
      <c r="I42" s="6" t="s">
        <v>204</v>
      </c>
      <c r="J42" s="6" t="s">
        <v>780</v>
      </c>
      <c r="K42" s="6" t="s">
        <v>472</v>
      </c>
      <c r="L42" s="6"/>
      <c r="M42" s="6" t="s">
        <v>671</v>
      </c>
      <c r="N42" s="14"/>
    </row>
    <row r="43" ht="15.75" customHeight="1">
      <c r="A43" s="6">
        <v>20.0</v>
      </c>
      <c r="B43" s="12">
        <f t="shared" ref="B43:B44" si="20">$C$2+7*(20-1)</f>
        <v>46327</v>
      </c>
      <c r="C43" s="23" t="s">
        <v>352</v>
      </c>
      <c r="D43" s="6" t="s">
        <v>109</v>
      </c>
      <c r="E43" s="6" t="s">
        <v>396</v>
      </c>
      <c r="F43" s="6" t="s">
        <v>786</v>
      </c>
      <c r="G43" s="6"/>
      <c r="H43" s="6"/>
      <c r="I43" s="6" t="s">
        <v>204</v>
      </c>
      <c r="J43" s="6" t="s">
        <v>787</v>
      </c>
      <c r="K43" s="6" t="s">
        <v>465</v>
      </c>
      <c r="L43" s="6" t="s">
        <v>788</v>
      </c>
      <c r="M43" s="6" t="s">
        <v>790</v>
      </c>
      <c r="N43" s="14"/>
    </row>
    <row r="44" ht="15.75" customHeight="1">
      <c r="A44" s="6">
        <v>20.0</v>
      </c>
      <c r="B44" s="12">
        <f t="shared" si="20"/>
        <v>46327</v>
      </c>
      <c r="C44" s="23" t="s">
        <v>352</v>
      </c>
      <c r="D44" s="6" t="s">
        <v>118</v>
      </c>
      <c r="E44" s="6" t="s">
        <v>148</v>
      </c>
      <c r="F44" s="6" t="s">
        <v>792</v>
      </c>
      <c r="G44" s="6"/>
      <c r="H44" s="6"/>
      <c r="I44" s="6" t="s">
        <v>204</v>
      </c>
      <c r="J44" s="6"/>
      <c r="K44" s="6" t="s">
        <v>472</v>
      </c>
      <c r="L44" s="6"/>
      <c r="M44" s="6" t="s">
        <v>794</v>
      </c>
      <c r="N44" s="14"/>
    </row>
    <row r="45" ht="15.75" customHeight="1">
      <c r="A45" s="6">
        <v>21.0</v>
      </c>
      <c r="B45" s="12">
        <f t="shared" ref="B45:B46" si="21">$C$2+7*(21-1)</f>
        <v>46334</v>
      </c>
      <c r="C45" s="23" t="s">
        <v>352</v>
      </c>
      <c r="D45" s="6" t="s">
        <v>109</v>
      </c>
      <c r="E45" s="6" t="s">
        <v>396</v>
      </c>
      <c r="F45" s="6" t="s">
        <v>798</v>
      </c>
      <c r="G45" s="6"/>
      <c r="H45" s="6"/>
      <c r="I45" s="6" t="s">
        <v>204</v>
      </c>
      <c r="J45" s="6" t="s">
        <v>800</v>
      </c>
      <c r="K45" s="6" t="s">
        <v>465</v>
      </c>
      <c r="L45" s="6"/>
      <c r="M45" s="6" t="s">
        <v>802</v>
      </c>
      <c r="N45" s="14"/>
    </row>
    <row r="46" ht="15.75" customHeight="1">
      <c r="A46" s="6">
        <v>21.0</v>
      </c>
      <c r="B46" s="12">
        <f t="shared" si="21"/>
        <v>46334</v>
      </c>
      <c r="C46" s="23" t="s">
        <v>352</v>
      </c>
      <c r="D46" s="6" t="s">
        <v>118</v>
      </c>
      <c r="E46" s="6" t="s">
        <v>148</v>
      </c>
      <c r="F46" s="6" t="s">
        <v>803</v>
      </c>
      <c r="G46" s="6"/>
      <c r="H46" s="6"/>
      <c r="I46" s="6" t="s">
        <v>204</v>
      </c>
      <c r="J46" s="6"/>
      <c r="K46" s="6" t="s">
        <v>472</v>
      </c>
      <c r="L46" s="6" t="s">
        <v>805</v>
      </c>
      <c r="M46" s="6" t="s">
        <v>794</v>
      </c>
      <c r="N46" s="14"/>
    </row>
    <row r="47" ht="15.75" customHeight="1">
      <c r="A47" s="6">
        <v>22.0</v>
      </c>
      <c r="B47" s="12">
        <f t="shared" ref="B47:B48" si="22">$C$2+7*(22-1)</f>
        <v>46341</v>
      </c>
      <c r="C47" s="23" t="s">
        <v>352</v>
      </c>
      <c r="D47" s="6" t="s">
        <v>109</v>
      </c>
      <c r="E47" s="6" t="s">
        <v>396</v>
      </c>
      <c r="F47" s="20" t="s">
        <v>811</v>
      </c>
      <c r="G47" s="6"/>
      <c r="H47" s="6"/>
      <c r="I47" s="21" t="s">
        <v>288</v>
      </c>
      <c r="J47" s="6" t="s">
        <v>813</v>
      </c>
      <c r="K47" s="6" t="s">
        <v>465</v>
      </c>
      <c r="L47" s="6" t="s">
        <v>816</v>
      </c>
      <c r="M47" s="6" t="s">
        <v>818</v>
      </c>
      <c r="N47" s="14"/>
    </row>
    <row r="48" ht="15.75" customHeight="1">
      <c r="A48" s="6">
        <v>22.0</v>
      </c>
      <c r="B48" s="12">
        <f t="shared" si="22"/>
        <v>46341</v>
      </c>
      <c r="C48" s="23" t="s">
        <v>352</v>
      </c>
      <c r="D48" s="6" t="s">
        <v>118</v>
      </c>
      <c r="E48" s="6" t="s">
        <v>148</v>
      </c>
      <c r="F48" s="6" t="s">
        <v>819</v>
      </c>
      <c r="G48" s="6"/>
      <c r="H48" s="6"/>
      <c r="I48" s="6" t="s">
        <v>204</v>
      </c>
      <c r="J48" s="6" t="s">
        <v>822</v>
      </c>
      <c r="K48" s="6" t="s">
        <v>472</v>
      </c>
      <c r="L48" s="6" t="s">
        <v>824</v>
      </c>
      <c r="M48" s="6" t="s">
        <v>825</v>
      </c>
      <c r="N48" s="14"/>
    </row>
    <row r="49" ht="15.75" customHeight="1">
      <c r="A49" s="6">
        <v>23.0</v>
      </c>
      <c r="B49" s="12">
        <f t="shared" ref="B49:B50" si="23">$C$2+7*(23-1)</f>
        <v>46348</v>
      </c>
      <c r="C49" s="23" t="s">
        <v>352</v>
      </c>
      <c r="D49" s="6" t="s">
        <v>109</v>
      </c>
      <c r="E49" s="6" t="s">
        <v>396</v>
      </c>
      <c r="F49" s="19" t="s">
        <v>835</v>
      </c>
      <c r="G49" s="6"/>
      <c r="H49" s="6"/>
      <c r="I49" s="19" t="s">
        <v>280</v>
      </c>
      <c r="J49" s="6"/>
      <c r="K49" s="6" t="s">
        <v>465</v>
      </c>
      <c r="L49" s="6"/>
      <c r="M49" s="6" t="s">
        <v>840</v>
      </c>
      <c r="N49" s="14"/>
    </row>
    <row r="50" ht="15.75" customHeight="1">
      <c r="A50" s="6">
        <v>23.0</v>
      </c>
      <c r="B50" s="12">
        <f t="shared" si="23"/>
        <v>46348</v>
      </c>
      <c r="C50" s="23" t="s">
        <v>352</v>
      </c>
      <c r="D50" s="6" t="s">
        <v>118</v>
      </c>
      <c r="E50" s="6" t="s">
        <v>148</v>
      </c>
      <c r="F50" s="19" t="s">
        <v>842</v>
      </c>
      <c r="G50" s="6"/>
      <c r="H50" s="6"/>
      <c r="I50" s="19" t="s">
        <v>280</v>
      </c>
      <c r="J50" s="6"/>
      <c r="K50" s="6" t="s">
        <v>472</v>
      </c>
      <c r="L50" s="6"/>
      <c r="M50" s="6" t="s">
        <v>825</v>
      </c>
      <c r="N50" s="14"/>
    </row>
    <row r="51" ht="15.75" customHeight="1">
      <c r="A51" s="6">
        <v>24.0</v>
      </c>
      <c r="B51" s="12">
        <f t="shared" ref="B51:B52" si="24">$C$2+7*(24-1)</f>
        <v>46355</v>
      </c>
      <c r="C51" s="23" t="s">
        <v>352</v>
      </c>
      <c r="D51" s="6" t="s">
        <v>109</v>
      </c>
      <c r="E51" s="6" t="s">
        <v>396</v>
      </c>
      <c r="F51" s="19" t="s">
        <v>850</v>
      </c>
      <c r="G51" s="6"/>
      <c r="H51" s="6"/>
      <c r="I51" s="19" t="s">
        <v>280</v>
      </c>
      <c r="J51" s="6"/>
      <c r="K51" s="6" t="s">
        <v>465</v>
      </c>
      <c r="L51" s="6"/>
      <c r="M51" s="6" t="s">
        <v>853</v>
      </c>
      <c r="N51" s="14"/>
    </row>
    <row r="52" ht="15.75" customHeight="1">
      <c r="A52" s="6">
        <v>24.0</v>
      </c>
      <c r="B52" s="12">
        <f t="shared" si="24"/>
        <v>46355</v>
      </c>
      <c r="C52" s="23" t="s">
        <v>352</v>
      </c>
      <c r="D52" s="6" t="s">
        <v>118</v>
      </c>
      <c r="E52" s="6" t="s">
        <v>148</v>
      </c>
      <c r="F52" s="19" t="s">
        <v>590</v>
      </c>
      <c r="G52" s="6"/>
      <c r="H52" s="6"/>
      <c r="I52" s="19" t="s">
        <v>280</v>
      </c>
      <c r="J52" s="6"/>
      <c r="K52" s="6" t="s">
        <v>472</v>
      </c>
      <c r="L52" s="6"/>
      <c r="M52" s="6" t="s">
        <v>774</v>
      </c>
      <c r="N52" s="14"/>
    </row>
    <row r="53" ht="15.75" customHeight="1">
      <c r="A53" s="6">
        <v>25.0</v>
      </c>
      <c r="B53" s="12">
        <f t="shared" ref="B53:B54" si="25">$C$2+7*(25-1)</f>
        <v>46362</v>
      </c>
      <c r="C53" s="23" t="s">
        <v>352</v>
      </c>
      <c r="D53" s="6" t="s">
        <v>109</v>
      </c>
      <c r="E53" s="6" t="s">
        <v>396</v>
      </c>
      <c r="F53" s="15" t="s">
        <v>862</v>
      </c>
      <c r="G53" s="6"/>
      <c r="H53" s="6"/>
      <c r="I53" s="16" t="s">
        <v>46</v>
      </c>
      <c r="J53" s="6"/>
      <c r="K53" s="6"/>
      <c r="L53" s="6"/>
      <c r="M53" s="6" t="s">
        <v>865</v>
      </c>
      <c r="N53" s="14"/>
    </row>
    <row r="54" ht="15.75" customHeight="1">
      <c r="A54" s="6">
        <v>25.0</v>
      </c>
      <c r="B54" s="12">
        <f t="shared" si="25"/>
        <v>46362</v>
      </c>
      <c r="C54" s="23" t="s">
        <v>352</v>
      </c>
      <c r="D54" s="6" t="s">
        <v>118</v>
      </c>
      <c r="E54" s="6" t="s">
        <v>148</v>
      </c>
      <c r="F54" s="22" t="s">
        <v>738</v>
      </c>
      <c r="G54" s="6"/>
      <c r="H54" s="6"/>
      <c r="I54" s="22" t="s">
        <v>326</v>
      </c>
      <c r="J54" s="6"/>
      <c r="K54" s="6"/>
      <c r="L54" s="6" t="s">
        <v>327</v>
      </c>
      <c r="M54" s="6" t="s">
        <v>868</v>
      </c>
      <c r="N54" s="14"/>
    </row>
    <row r="55" ht="15.75" customHeight="1">
      <c r="A55" s="6">
        <v>26.0</v>
      </c>
      <c r="B55" s="12">
        <f t="shared" ref="B55:B56" si="26">$C$2+7*(26-1)</f>
        <v>46369</v>
      </c>
      <c r="C55" s="23" t="s">
        <v>352</v>
      </c>
      <c r="D55" s="6" t="s">
        <v>109</v>
      </c>
      <c r="E55" s="6" t="s">
        <v>396</v>
      </c>
      <c r="F55" s="15" t="s">
        <v>874</v>
      </c>
      <c r="G55" s="6"/>
      <c r="H55" s="6"/>
      <c r="I55" s="16" t="s">
        <v>46</v>
      </c>
      <c r="J55" s="6"/>
      <c r="K55" s="6"/>
      <c r="L55" s="6" t="s">
        <v>339</v>
      </c>
      <c r="M55" s="6" t="s">
        <v>876</v>
      </c>
      <c r="N55" s="14"/>
    </row>
    <row r="56" ht="15.75" customHeight="1">
      <c r="A56" s="6">
        <v>26.0</v>
      </c>
      <c r="B56" s="12">
        <f t="shared" si="26"/>
        <v>46369</v>
      </c>
      <c r="C56" s="23" t="s">
        <v>352</v>
      </c>
      <c r="D56" s="6" t="s">
        <v>118</v>
      </c>
      <c r="E56" s="6" t="s">
        <v>148</v>
      </c>
      <c r="F56" s="22" t="s">
        <v>757</v>
      </c>
      <c r="G56" s="6"/>
      <c r="H56" s="6"/>
      <c r="I56" s="22" t="s">
        <v>326</v>
      </c>
      <c r="J56" s="6"/>
      <c r="K56" s="6"/>
      <c r="L56" s="6" t="s">
        <v>327</v>
      </c>
      <c r="M56" s="6" t="s">
        <v>880</v>
      </c>
      <c r="N56" s="14"/>
    </row>
    <row r="57" ht="15.75" customHeight="1">
      <c r="A57" s="6">
        <v>27.0</v>
      </c>
      <c r="B57" s="12">
        <f t="shared" ref="B57:B58" si="27">$C$2+7*(27-1)</f>
        <v>46376</v>
      </c>
      <c r="C57" s="23" t="s">
        <v>352</v>
      </c>
      <c r="D57" s="6" t="s">
        <v>109</v>
      </c>
      <c r="E57" s="6" t="s">
        <v>396</v>
      </c>
      <c r="F57" s="19" t="s">
        <v>885</v>
      </c>
      <c r="G57" s="6"/>
      <c r="H57" s="6"/>
      <c r="I57" s="19" t="s">
        <v>280</v>
      </c>
      <c r="J57" s="6"/>
      <c r="K57" s="6" t="s">
        <v>465</v>
      </c>
      <c r="L57" s="6"/>
      <c r="M57" s="6" t="s">
        <v>887</v>
      </c>
      <c r="N57" s="14"/>
    </row>
    <row r="58" ht="15.75" customHeight="1">
      <c r="A58" s="6">
        <v>27.0</v>
      </c>
      <c r="B58" s="12">
        <f t="shared" si="27"/>
        <v>46376</v>
      </c>
      <c r="C58" s="23" t="s">
        <v>352</v>
      </c>
      <c r="D58" s="6" t="s">
        <v>118</v>
      </c>
      <c r="E58" s="6" t="s">
        <v>148</v>
      </c>
      <c r="F58" s="19" t="s">
        <v>501</v>
      </c>
      <c r="G58" s="6"/>
      <c r="H58" s="6"/>
      <c r="I58" s="19" t="s">
        <v>280</v>
      </c>
      <c r="J58" s="6"/>
      <c r="K58" s="6" t="s">
        <v>472</v>
      </c>
      <c r="L58" s="6"/>
      <c r="M58" s="6" t="s">
        <v>892</v>
      </c>
      <c r="N58" s="14"/>
    </row>
    <row r="59" ht="15.75" customHeight="1">
      <c r="A59" s="6">
        <v>28.0</v>
      </c>
      <c r="B59" s="12">
        <f t="shared" ref="B59:B60" si="28">$C$2+7*(28-1)</f>
        <v>46383</v>
      </c>
      <c r="C59" s="24" t="s">
        <v>511</v>
      </c>
      <c r="D59" s="6" t="s">
        <v>109</v>
      </c>
      <c r="E59" s="6" t="s">
        <v>396</v>
      </c>
      <c r="F59" s="6" t="s">
        <v>896</v>
      </c>
      <c r="G59" s="6" t="s">
        <v>897</v>
      </c>
      <c r="H59" s="6">
        <v>3.0</v>
      </c>
      <c r="I59" s="6" t="s">
        <v>175</v>
      </c>
      <c r="J59" s="6"/>
      <c r="K59" s="6" t="s">
        <v>465</v>
      </c>
      <c r="L59" s="6"/>
      <c r="M59" s="6" t="s">
        <v>899</v>
      </c>
      <c r="N59" s="14"/>
    </row>
    <row r="60" ht="15.75" customHeight="1">
      <c r="A60" s="6">
        <v>28.0</v>
      </c>
      <c r="B60" s="12">
        <f t="shared" si="28"/>
        <v>46383</v>
      </c>
      <c r="C60" s="24" t="s">
        <v>511</v>
      </c>
      <c r="D60" s="6" t="s">
        <v>118</v>
      </c>
      <c r="E60" s="6" t="s">
        <v>148</v>
      </c>
      <c r="F60" s="6" t="s">
        <v>901</v>
      </c>
      <c r="G60" s="6" t="s">
        <v>902</v>
      </c>
      <c r="H60" s="6">
        <v>3.0</v>
      </c>
      <c r="I60" s="6" t="s">
        <v>167</v>
      </c>
      <c r="J60" s="6"/>
      <c r="K60" s="6" t="s">
        <v>472</v>
      </c>
      <c r="L60" s="6" t="s">
        <v>903</v>
      </c>
      <c r="M60" s="6" t="s">
        <v>905</v>
      </c>
      <c r="N60" s="14"/>
    </row>
    <row r="61" ht="15.75" customHeight="1">
      <c r="A61" s="6">
        <v>29.0</v>
      </c>
      <c r="B61" s="12">
        <f t="shared" ref="B61:B62" si="29">$C$2+7*(29-1)</f>
        <v>46390</v>
      </c>
      <c r="C61" s="24" t="s">
        <v>511</v>
      </c>
      <c r="D61" s="6" t="s">
        <v>109</v>
      </c>
      <c r="E61" s="6" t="s">
        <v>396</v>
      </c>
      <c r="F61" s="6" t="s">
        <v>908</v>
      </c>
      <c r="G61" s="6" t="s">
        <v>909</v>
      </c>
      <c r="H61" s="6">
        <v>3.0</v>
      </c>
      <c r="I61" s="6" t="s">
        <v>175</v>
      </c>
      <c r="J61" s="6" t="s">
        <v>910</v>
      </c>
      <c r="K61" s="6" t="s">
        <v>465</v>
      </c>
      <c r="L61" s="6" t="s">
        <v>911</v>
      </c>
      <c r="M61" s="6" t="s">
        <v>912</v>
      </c>
      <c r="N61" s="14"/>
    </row>
    <row r="62" ht="15.75" customHeight="1">
      <c r="A62" s="6">
        <v>29.0</v>
      </c>
      <c r="B62" s="12">
        <f t="shared" si="29"/>
        <v>46390</v>
      </c>
      <c r="C62" s="24" t="s">
        <v>511</v>
      </c>
      <c r="D62" s="6" t="s">
        <v>118</v>
      </c>
      <c r="E62" s="6" t="s">
        <v>148</v>
      </c>
      <c r="F62" s="6" t="s">
        <v>915</v>
      </c>
      <c r="G62" s="6" t="s">
        <v>916</v>
      </c>
      <c r="H62" s="6">
        <v>2.0</v>
      </c>
      <c r="I62" s="6" t="s">
        <v>175</v>
      </c>
      <c r="J62" s="6"/>
      <c r="K62" s="6" t="s">
        <v>472</v>
      </c>
      <c r="L62" s="6"/>
      <c r="M62" s="6" t="s">
        <v>919</v>
      </c>
      <c r="N62" s="14"/>
    </row>
    <row r="63" ht="15.75" customHeight="1">
      <c r="A63" s="6">
        <v>30.0</v>
      </c>
      <c r="B63" s="12">
        <f t="shared" ref="B63:B64" si="30">$C$2+7*(30-1)</f>
        <v>46397</v>
      </c>
      <c r="C63" s="24" t="s">
        <v>511</v>
      </c>
      <c r="D63" s="6" t="s">
        <v>109</v>
      </c>
      <c r="E63" s="6" t="s">
        <v>396</v>
      </c>
      <c r="F63" s="6" t="s">
        <v>923</v>
      </c>
      <c r="G63" s="6" t="s">
        <v>924</v>
      </c>
      <c r="H63" s="6">
        <v>2.0</v>
      </c>
      <c r="I63" s="6" t="s">
        <v>175</v>
      </c>
      <c r="J63" s="6"/>
      <c r="K63" s="6" t="s">
        <v>465</v>
      </c>
      <c r="L63" s="6" t="s">
        <v>249</v>
      </c>
      <c r="M63" s="6" t="s">
        <v>925</v>
      </c>
      <c r="N63" s="14"/>
    </row>
    <row r="64" ht="15.75" customHeight="1">
      <c r="A64" s="6">
        <v>30.0</v>
      </c>
      <c r="B64" s="12">
        <f t="shared" si="30"/>
        <v>46397</v>
      </c>
      <c r="C64" s="24" t="s">
        <v>511</v>
      </c>
      <c r="D64" s="6" t="s">
        <v>118</v>
      </c>
      <c r="E64" s="6" t="s">
        <v>148</v>
      </c>
      <c r="F64" s="6" t="s">
        <v>926</v>
      </c>
      <c r="G64" s="6"/>
      <c r="H64" s="6"/>
      <c r="I64" s="6" t="s">
        <v>204</v>
      </c>
      <c r="J64" s="6"/>
      <c r="K64" s="6" t="s">
        <v>472</v>
      </c>
      <c r="L64" s="6" t="s">
        <v>249</v>
      </c>
      <c r="M64" s="6" t="s">
        <v>927</v>
      </c>
      <c r="N64" s="14"/>
    </row>
    <row r="65" ht="15.75" customHeight="1">
      <c r="A65" s="6">
        <v>31.0</v>
      </c>
      <c r="B65" s="12">
        <f t="shared" ref="B65:B66" si="31">$C$2+7*(31-1)</f>
        <v>46404</v>
      </c>
      <c r="C65" s="24" t="s">
        <v>511</v>
      </c>
      <c r="D65" s="6" t="s">
        <v>109</v>
      </c>
      <c r="E65" s="6" t="s">
        <v>396</v>
      </c>
      <c r="F65" s="6" t="s">
        <v>928</v>
      </c>
      <c r="G65" s="6" t="s">
        <v>929</v>
      </c>
      <c r="H65" s="6">
        <v>2.0</v>
      </c>
      <c r="I65" s="6" t="s">
        <v>175</v>
      </c>
      <c r="J65" s="6"/>
      <c r="K65" s="6" t="s">
        <v>465</v>
      </c>
      <c r="L65" s="6" t="s">
        <v>689</v>
      </c>
      <c r="M65" s="6" t="s">
        <v>930</v>
      </c>
      <c r="N65" s="14"/>
    </row>
    <row r="66" ht="15.75" customHeight="1">
      <c r="A66" s="6">
        <v>31.0</v>
      </c>
      <c r="B66" s="12">
        <f t="shared" si="31"/>
        <v>46404</v>
      </c>
      <c r="C66" s="24" t="s">
        <v>511</v>
      </c>
      <c r="D66" s="6" t="s">
        <v>118</v>
      </c>
      <c r="E66" s="6" t="s">
        <v>148</v>
      </c>
      <c r="F66" s="6" t="s">
        <v>932</v>
      </c>
      <c r="G66" s="6"/>
      <c r="H66" s="6"/>
      <c r="I66" s="6" t="s">
        <v>204</v>
      </c>
      <c r="J66" s="6"/>
      <c r="K66" s="6" t="s">
        <v>472</v>
      </c>
      <c r="L66" s="6" t="s">
        <v>933</v>
      </c>
      <c r="M66" s="6" t="s">
        <v>927</v>
      </c>
      <c r="N66" s="14"/>
    </row>
    <row r="67" ht="15.75" customHeight="1">
      <c r="A67" s="6">
        <v>32.0</v>
      </c>
      <c r="B67" s="12">
        <f t="shared" ref="B67:B68" si="32">$C$2+7*(32-1)</f>
        <v>46411</v>
      </c>
      <c r="C67" s="24" t="s">
        <v>511</v>
      </c>
      <c r="D67" s="6" t="s">
        <v>109</v>
      </c>
      <c r="E67" s="6" t="s">
        <v>396</v>
      </c>
      <c r="F67" s="6" t="s">
        <v>936</v>
      </c>
      <c r="G67" s="6" t="s">
        <v>937</v>
      </c>
      <c r="H67" s="6">
        <v>12.0</v>
      </c>
      <c r="I67" s="6" t="s">
        <v>167</v>
      </c>
      <c r="J67" s="6"/>
      <c r="K67" s="6" t="s">
        <v>465</v>
      </c>
      <c r="L67" s="6" t="s">
        <v>938</v>
      </c>
      <c r="M67" s="6" t="s">
        <v>939</v>
      </c>
      <c r="N67" s="14"/>
    </row>
    <row r="68" ht="15.75" customHeight="1">
      <c r="A68" s="6">
        <v>32.0</v>
      </c>
      <c r="B68" s="12">
        <f t="shared" si="32"/>
        <v>46411</v>
      </c>
      <c r="C68" s="24" t="s">
        <v>511</v>
      </c>
      <c r="D68" s="6" t="s">
        <v>118</v>
      </c>
      <c r="E68" s="6" t="s">
        <v>148</v>
      </c>
      <c r="F68" s="6" t="s">
        <v>941</v>
      </c>
      <c r="G68" s="6" t="s">
        <v>942</v>
      </c>
      <c r="H68" s="6">
        <v>2.0</v>
      </c>
      <c r="I68" s="6" t="s">
        <v>175</v>
      </c>
      <c r="J68" s="6"/>
      <c r="K68" s="6" t="s">
        <v>472</v>
      </c>
      <c r="L68" s="6" t="s">
        <v>943</v>
      </c>
      <c r="M68" s="6" t="s">
        <v>927</v>
      </c>
      <c r="N68" s="14"/>
    </row>
    <row r="69" ht="15.75" customHeight="1">
      <c r="A69" s="6">
        <v>33.0</v>
      </c>
      <c r="B69" s="12">
        <f t="shared" ref="B69:B70" si="33">$C$2+7*(33-1)</f>
        <v>46418</v>
      </c>
      <c r="C69" s="24" t="s">
        <v>511</v>
      </c>
      <c r="D69" s="6" t="s">
        <v>109</v>
      </c>
      <c r="E69" s="6" t="s">
        <v>396</v>
      </c>
      <c r="F69" s="20" t="s">
        <v>944</v>
      </c>
      <c r="G69" s="6"/>
      <c r="H69" s="6"/>
      <c r="I69" s="21" t="s">
        <v>288</v>
      </c>
      <c r="J69" s="6" t="s">
        <v>945</v>
      </c>
      <c r="K69" s="6" t="s">
        <v>465</v>
      </c>
      <c r="L69" s="6"/>
      <c r="M69" s="6"/>
      <c r="N69" s="14"/>
    </row>
    <row r="70" ht="15.75" customHeight="1">
      <c r="A70" s="6">
        <v>33.0</v>
      </c>
      <c r="B70" s="12">
        <f t="shared" si="33"/>
        <v>46418</v>
      </c>
      <c r="C70" s="24" t="s">
        <v>511</v>
      </c>
      <c r="D70" s="6" t="s">
        <v>118</v>
      </c>
      <c r="E70" s="6" t="s">
        <v>148</v>
      </c>
      <c r="F70" s="19" t="s">
        <v>947</v>
      </c>
      <c r="G70" s="6"/>
      <c r="H70" s="6"/>
      <c r="I70" s="19" t="s">
        <v>280</v>
      </c>
      <c r="J70" s="6"/>
      <c r="K70" s="6" t="s">
        <v>472</v>
      </c>
      <c r="L70" s="6" t="s">
        <v>948</v>
      </c>
      <c r="M70" s="6" t="s">
        <v>949</v>
      </c>
      <c r="N70" s="14"/>
    </row>
    <row r="71" ht="15.75" customHeight="1">
      <c r="A71" s="6">
        <v>34.0</v>
      </c>
      <c r="B71" s="12">
        <f>$C$2+7*(34-1)</f>
        <v>46425</v>
      </c>
      <c r="C71" s="24" t="s">
        <v>511</v>
      </c>
      <c r="D71" s="6" t="s">
        <v>156</v>
      </c>
      <c r="E71" s="6"/>
      <c r="F71" s="25" t="s">
        <v>626</v>
      </c>
      <c r="G71" s="6"/>
      <c r="H71" s="6"/>
      <c r="I71" s="25" t="s">
        <v>630</v>
      </c>
      <c r="J71" s="6"/>
      <c r="K71" s="6"/>
      <c r="L71" s="6" t="s">
        <v>632</v>
      </c>
      <c r="M71" s="6"/>
      <c r="N71" s="14"/>
    </row>
    <row r="72" ht="15.75" customHeight="1">
      <c r="A72" s="6">
        <v>35.0</v>
      </c>
      <c r="B72" s="12">
        <f t="shared" ref="B72:B73" si="34">$C$2+7*(35-1)</f>
        <v>46432</v>
      </c>
      <c r="C72" s="24" t="s">
        <v>511</v>
      </c>
      <c r="D72" s="6" t="s">
        <v>109</v>
      </c>
      <c r="E72" s="6" t="s">
        <v>396</v>
      </c>
      <c r="F72" s="19" t="s">
        <v>959</v>
      </c>
      <c r="G72" s="6"/>
      <c r="H72" s="6"/>
      <c r="I72" s="19" t="s">
        <v>280</v>
      </c>
      <c r="J72" s="6"/>
      <c r="K72" s="6" t="s">
        <v>465</v>
      </c>
      <c r="L72" s="6"/>
      <c r="M72" s="6" t="s">
        <v>960</v>
      </c>
      <c r="N72" s="14"/>
    </row>
    <row r="73" ht="15.75" customHeight="1">
      <c r="A73" s="6">
        <v>35.0</v>
      </c>
      <c r="B73" s="12">
        <f t="shared" si="34"/>
        <v>46432</v>
      </c>
      <c r="C73" s="24" t="s">
        <v>511</v>
      </c>
      <c r="D73" s="6" t="s">
        <v>118</v>
      </c>
      <c r="E73" s="6" t="s">
        <v>148</v>
      </c>
      <c r="F73" s="19" t="s">
        <v>961</v>
      </c>
      <c r="G73" s="6"/>
      <c r="H73" s="6"/>
      <c r="I73" s="19" t="s">
        <v>280</v>
      </c>
      <c r="J73" s="6"/>
      <c r="K73" s="6" t="s">
        <v>472</v>
      </c>
      <c r="L73" s="6"/>
      <c r="M73" s="6" t="s">
        <v>963</v>
      </c>
      <c r="N73" s="14"/>
    </row>
    <row r="74" ht="15.75" customHeight="1">
      <c r="A74" s="6">
        <v>36.0</v>
      </c>
      <c r="B74" s="12">
        <f t="shared" ref="B74:B75" si="35">$C$2+7*(36-1)</f>
        <v>46439</v>
      </c>
      <c r="C74" s="24" t="s">
        <v>511</v>
      </c>
      <c r="D74" s="6" t="s">
        <v>109</v>
      </c>
      <c r="E74" s="6" t="s">
        <v>396</v>
      </c>
      <c r="F74" s="15" t="s">
        <v>968</v>
      </c>
      <c r="G74" s="6"/>
      <c r="H74" s="6"/>
      <c r="I74" s="16" t="s">
        <v>46</v>
      </c>
      <c r="J74" s="6"/>
      <c r="K74" s="6"/>
      <c r="L74" s="6"/>
      <c r="M74" s="6"/>
      <c r="N74" s="14"/>
    </row>
    <row r="75" ht="15.75" customHeight="1">
      <c r="A75" s="6">
        <v>36.0</v>
      </c>
      <c r="B75" s="12">
        <f t="shared" si="35"/>
        <v>46439</v>
      </c>
      <c r="C75" s="24" t="s">
        <v>511</v>
      </c>
      <c r="D75" s="6" t="s">
        <v>118</v>
      </c>
      <c r="E75" s="6" t="s">
        <v>148</v>
      </c>
      <c r="F75" s="22" t="s">
        <v>738</v>
      </c>
      <c r="G75" s="6"/>
      <c r="H75" s="6"/>
      <c r="I75" s="22" t="s">
        <v>326</v>
      </c>
      <c r="J75" s="6"/>
      <c r="K75" s="6"/>
      <c r="L75" s="6" t="s">
        <v>327</v>
      </c>
      <c r="M75" s="6"/>
      <c r="N75" s="14"/>
    </row>
    <row r="76" ht="15.75" customHeight="1">
      <c r="A76" s="6">
        <v>37.0</v>
      </c>
      <c r="B76" s="12">
        <f t="shared" ref="B76:B77" si="36">$C$2+7*(37-1)</f>
        <v>46446</v>
      </c>
      <c r="C76" s="24" t="s">
        <v>511</v>
      </c>
      <c r="D76" s="6" t="s">
        <v>109</v>
      </c>
      <c r="E76" s="6" t="s">
        <v>396</v>
      </c>
      <c r="F76" s="15" t="s">
        <v>974</v>
      </c>
      <c r="G76" s="6"/>
      <c r="H76" s="6"/>
      <c r="I76" s="16" t="s">
        <v>46</v>
      </c>
      <c r="J76" s="6"/>
      <c r="K76" s="6"/>
      <c r="L76" s="6" t="s">
        <v>339</v>
      </c>
      <c r="M76" s="6" t="s">
        <v>977</v>
      </c>
      <c r="N76" s="14"/>
    </row>
    <row r="77" ht="15.75" customHeight="1">
      <c r="A77" s="6">
        <v>37.0</v>
      </c>
      <c r="B77" s="12">
        <f t="shared" si="36"/>
        <v>46446</v>
      </c>
      <c r="C77" s="24" t="s">
        <v>511</v>
      </c>
      <c r="D77" s="6" t="s">
        <v>118</v>
      </c>
      <c r="E77" s="6" t="s">
        <v>148</v>
      </c>
      <c r="F77" s="22" t="s">
        <v>757</v>
      </c>
      <c r="G77" s="6"/>
      <c r="H77" s="6"/>
      <c r="I77" s="22" t="s">
        <v>326</v>
      </c>
      <c r="J77" s="6"/>
      <c r="K77" s="6"/>
      <c r="L77" s="6" t="s">
        <v>327</v>
      </c>
      <c r="M77" s="6" t="s">
        <v>979</v>
      </c>
      <c r="N77" s="14"/>
    </row>
    <row r="78" ht="15.75" customHeight="1">
      <c r="A78" s="6">
        <v>38.0</v>
      </c>
      <c r="B78" s="12">
        <f t="shared" ref="B78:B79" si="37">$C$2+7*(38-1)</f>
        <v>46453</v>
      </c>
      <c r="C78" s="26" t="s">
        <v>693</v>
      </c>
      <c r="D78" s="6" t="s">
        <v>109</v>
      </c>
      <c r="E78" s="6" t="s">
        <v>396</v>
      </c>
      <c r="F78" s="6" t="s">
        <v>981</v>
      </c>
      <c r="G78" s="6"/>
      <c r="H78" s="6"/>
      <c r="I78" s="6" t="s">
        <v>204</v>
      </c>
      <c r="J78" s="6"/>
      <c r="K78" s="6" t="s">
        <v>465</v>
      </c>
      <c r="L78" s="6" t="s">
        <v>982</v>
      </c>
      <c r="M78" s="6"/>
      <c r="N78" s="14"/>
    </row>
    <row r="79" ht="15.75" customHeight="1">
      <c r="A79" s="6">
        <v>38.0</v>
      </c>
      <c r="B79" s="12">
        <f t="shared" si="37"/>
        <v>46453</v>
      </c>
      <c r="C79" s="26" t="s">
        <v>693</v>
      </c>
      <c r="D79" s="6" t="s">
        <v>118</v>
      </c>
      <c r="E79" s="6" t="s">
        <v>148</v>
      </c>
      <c r="F79" s="6" t="s">
        <v>985</v>
      </c>
      <c r="G79" s="6" t="s">
        <v>986</v>
      </c>
      <c r="H79" s="6">
        <v>4.0</v>
      </c>
      <c r="I79" s="6" t="s">
        <v>167</v>
      </c>
      <c r="J79" s="6"/>
      <c r="K79" s="6" t="s">
        <v>472</v>
      </c>
      <c r="L79" s="6" t="s">
        <v>987</v>
      </c>
      <c r="M79" s="6" t="s">
        <v>988</v>
      </c>
      <c r="N79" s="14"/>
    </row>
    <row r="80" ht="15.75" customHeight="1">
      <c r="A80" s="6">
        <v>39.0</v>
      </c>
      <c r="B80" s="12">
        <f t="shared" ref="B80:B81" si="38">$C$2+7*(39-1)</f>
        <v>46460</v>
      </c>
      <c r="C80" s="26" t="s">
        <v>693</v>
      </c>
      <c r="D80" s="6" t="s">
        <v>109</v>
      </c>
      <c r="E80" s="6" t="s">
        <v>396</v>
      </c>
      <c r="F80" s="6" t="s">
        <v>990</v>
      </c>
      <c r="G80" s="6"/>
      <c r="H80" s="6"/>
      <c r="I80" s="6" t="s">
        <v>204</v>
      </c>
      <c r="J80" s="6"/>
      <c r="K80" s="6" t="s">
        <v>465</v>
      </c>
      <c r="L80" s="6" t="s">
        <v>982</v>
      </c>
      <c r="M80" s="6"/>
      <c r="N80" s="14"/>
    </row>
    <row r="81" ht="15.75" customHeight="1">
      <c r="A81" s="6">
        <v>39.0</v>
      </c>
      <c r="B81" s="12">
        <f t="shared" si="38"/>
        <v>46460</v>
      </c>
      <c r="C81" s="26" t="s">
        <v>693</v>
      </c>
      <c r="D81" s="6" t="s">
        <v>118</v>
      </c>
      <c r="E81" s="6" t="s">
        <v>148</v>
      </c>
      <c r="F81" s="6" t="s">
        <v>992</v>
      </c>
      <c r="G81" s="6"/>
      <c r="H81" s="6"/>
      <c r="I81" s="6" t="s">
        <v>204</v>
      </c>
      <c r="J81" s="6"/>
      <c r="K81" s="6" t="s">
        <v>472</v>
      </c>
      <c r="L81" s="6"/>
      <c r="M81" s="6" t="s">
        <v>993</v>
      </c>
      <c r="N81" s="14"/>
    </row>
    <row r="82" ht="15.75" customHeight="1">
      <c r="A82" s="6">
        <v>40.0</v>
      </c>
      <c r="B82" s="12">
        <f t="shared" ref="B82:B83" si="39">$C$2+7*(40-1)</f>
        <v>46467</v>
      </c>
      <c r="C82" s="26" t="s">
        <v>693</v>
      </c>
      <c r="D82" s="6" t="s">
        <v>109</v>
      </c>
      <c r="E82" s="6" t="s">
        <v>396</v>
      </c>
      <c r="F82" s="20" t="s">
        <v>995</v>
      </c>
      <c r="G82" s="6"/>
      <c r="H82" s="6"/>
      <c r="I82" s="21" t="s">
        <v>288</v>
      </c>
      <c r="J82" s="6" t="s">
        <v>996</v>
      </c>
      <c r="K82" s="6" t="s">
        <v>465</v>
      </c>
      <c r="L82" s="6" t="s">
        <v>982</v>
      </c>
      <c r="M82" s="6"/>
      <c r="N82" s="14"/>
    </row>
    <row r="83" ht="15.75" customHeight="1">
      <c r="A83" s="6">
        <v>40.0</v>
      </c>
      <c r="B83" s="12">
        <f t="shared" si="39"/>
        <v>46467</v>
      </c>
      <c r="C83" s="26" t="s">
        <v>693</v>
      </c>
      <c r="D83" s="6" t="s">
        <v>118</v>
      </c>
      <c r="E83" s="6" t="s">
        <v>148</v>
      </c>
      <c r="F83" s="6" t="s">
        <v>998</v>
      </c>
      <c r="G83" s="6"/>
      <c r="H83" s="6"/>
      <c r="I83" s="6" t="s">
        <v>204</v>
      </c>
      <c r="J83" s="6"/>
      <c r="K83" s="6" t="s">
        <v>472</v>
      </c>
      <c r="L83" s="6" t="s">
        <v>805</v>
      </c>
      <c r="M83" s="6"/>
      <c r="N83" s="14"/>
    </row>
    <row r="84" ht="15.75" customHeight="1">
      <c r="A84" s="6">
        <v>41.0</v>
      </c>
      <c r="B84" s="12">
        <f t="shared" ref="B84:B85" si="40">$C$2+7*(41-1)</f>
        <v>46474</v>
      </c>
      <c r="C84" s="26" t="s">
        <v>693</v>
      </c>
      <c r="D84" s="6" t="s">
        <v>109</v>
      </c>
      <c r="E84" s="6" t="s">
        <v>396</v>
      </c>
      <c r="F84" s="19" t="s">
        <v>1000</v>
      </c>
      <c r="G84" s="6"/>
      <c r="H84" s="6"/>
      <c r="I84" s="19" t="s">
        <v>280</v>
      </c>
      <c r="J84" s="6"/>
      <c r="K84" s="6" t="s">
        <v>465</v>
      </c>
      <c r="L84" s="6"/>
      <c r="M84" s="6"/>
      <c r="N84" s="14"/>
    </row>
    <row r="85" ht="15.75" customHeight="1">
      <c r="A85" s="6">
        <v>41.0</v>
      </c>
      <c r="B85" s="12">
        <f t="shared" si="40"/>
        <v>46474</v>
      </c>
      <c r="C85" s="26" t="s">
        <v>693</v>
      </c>
      <c r="D85" s="6" t="s">
        <v>118</v>
      </c>
      <c r="E85" s="6" t="s">
        <v>148</v>
      </c>
      <c r="F85" s="19" t="s">
        <v>863</v>
      </c>
      <c r="G85" s="6"/>
      <c r="H85" s="6"/>
      <c r="I85" s="19" t="s">
        <v>280</v>
      </c>
      <c r="J85" s="6"/>
      <c r="K85" s="6" t="s">
        <v>472</v>
      </c>
      <c r="L85" s="6" t="s">
        <v>1002</v>
      </c>
      <c r="M85" s="6"/>
      <c r="N85" s="14"/>
    </row>
    <row r="86" ht="15.75" customHeight="1">
      <c r="A86" s="6">
        <v>42.0</v>
      </c>
      <c r="B86" s="12">
        <f t="shared" ref="B86:B87" si="41">$C$2+7*(42-1)</f>
        <v>46481</v>
      </c>
      <c r="C86" s="26" t="s">
        <v>693</v>
      </c>
      <c r="D86" s="6" t="s">
        <v>109</v>
      </c>
      <c r="E86" s="6" t="s">
        <v>396</v>
      </c>
      <c r="F86" s="19" t="s">
        <v>1003</v>
      </c>
      <c r="G86" s="6"/>
      <c r="H86" s="6"/>
      <c r="I86" s="19" t="s">
        <v>280</v>
      </c>
      <c r="J86" s="6"/>
      <c r="K86" s="6" t="s">
        <v>465</v>
      </c>
      <c r="L86" s="6"/>
      <c r="M86" s="6"/>
      <c r="N86" s="14"/>
    </row>
    <row r="87" ht="15.75" customHeight="1">
      <c r="A87" s="6">
        <v>42.0</v>
      </c>
      <c r="B87" s="12">
        <f t="shared" si="41"/>
        <v>46481</v>
      </c>
      <c r="C87" s="26" t="s">
        <v>693</v>
      </c>
      <c r="D87" s="6" t="s">
        <v>118</v>
      </c>
      <c r="E87" s="6" t="s">
        <v>148</v>
      </c>
      <c r="F87" s="19" t="s">
        <v>875</v>
      </c>
      <c r="G87" s="6"/>
      <c r="H87" s="6"/>
      <c r="I87" s="19" t="s">
        <v>280</v>
      </c>
      <c r="J87" s="6"/>
      <c r="K87" s="6" t="s">
        <v>472</v>
      </c>
      <c r="L87" s="6"/>
      <c r="M87" s="6" t="s">
        <v>1004</v>
      </c>
      <c r="N87" s="14"/>
    </row>
    <row r="88" ht="15.75" customHeight="1">
      <c r="A88" s="6">
        <v>43.0</v>
      </c>
      <c r="B88" s="12">
        <f t="shared" ref="B88:B89" si="42">$C$2+7*(43-1)</f>
        <v>46488</v>
      </c>
      <c r="C88" s="26" t="s">
        <v>693</v>
      </c>
      <c r="D88" s="6" t="s">
        <v>109</v>
      </c>
      <c r="E88" s="6" t="s">
        <v>396</v>
      </c>
      <c r="F88" s="15" t="s">
        <v>1005</v>
      </c>
      <c r="G88" s="6"/>
      <c r="H88" s="6"/>
      <c r="I88" s="16" t="s">
        <v>46</v>
      </c>
      <c r="J88" s="6"/>
      <c r="K88" s="6"/>
      <c r="L88" s="6"/>
      <c r="M88" s="6"/>
      <c r="N88" s="14"/>
    </row>
    <row r="89" ht="15.75" customHeight="1">
      <c r="A89" s="6">
        <v>43.0</v>
      </c>
      <c r="B89" s="12">
        <f t="shared" si="42"/>
        <v>46488</v>
      </c>
      <c r="C89" s="26" t="s">
        <v>693</v>
      </c>
      <c r="D89" s="6" t="s">
        <v>118</v>
      </c>
      <c r="E89" s="6" t="s">
        <v>148</v>
      </c>
      <c r="F89" s="22" t="s">
        <v>738</v>
      </c>
      <c r="G89" s="6"/>
      <c r="H89" s="6"/>
      <c r="I89" s="22" t="s">
        <v>326</v>
      </c>
      <c r="J89" s="6"/>
      <c r="K89" s="6"/>
      <c r="L89" s="6" t="s">
        <v>327</v>
      </c>
      <c r="M89" s="6" t="s">
        <v>1006</v>
      </c>
      <c r="N89" s="14"/>
    </row>
    <row r="90" ht="15.75" customHeight="1">
      <c r="A90" s="6">
        <v>44.0</v>
      </c>
      <c r="B90" s="12">
        <f t="shared" ref="B90:B91" si="43">$C$2+7*(44-1)</f>
        <v>46495</v>
      </c>
      <c r="C90" s="26" t="s">
        <v>693</v>
      </c>
      <c r="D90" s="6" t="s">
        <v>109</v>
      </c>
      <c r="E90" s="6" t="s">
        <v>396</v>
      </c>
      <c r="F90" s="15" t="s">
        <v>1007</v>
      </c>
      <c r="G90" s="6"/>
      <c r="H90" s="6"/>
      <c r="I90" s="16" t="s">
        <v>46</v>
      </c>
      <c r="J90" s="6"/>
      <c r="K90" s="6"/>
      <c r="L90" s="6" t="s">
        <v>339</v>
      </c>
      <c r="M90" s="6"/>
      <c r="N90" s="14"/>
    </row>
    <row r="91" ht="15.75" customHeight="1">
      <c r="A91" s="6">
        <v>44.0</v>
      </c>
      <c r="B91" s="12">
        <f t="shared" si="43"/>
        <v>46495</v>
      </c>
      <c r="C91" s="26" t="s">
        <v>693</v>
      </c>
      <c r="D91" s="6" t="s">
        <v>118</v>
      </c>
      <c r="E91" s="6" t="s">
        <v>148</v>
      </c>
      <c r="F91" s="22" t="s">
        <v>757</v>
      </c>
      <c r="G91" s="6"/>
      <c r="H91" s="6"/>
      <c r="I91" s="22" t="s">
        <v>326</v>
      </c>
      <c r="J91" s="6"/>
      <c r="K91" s="6"/>
      <c r="L91" s="6" t="s">
        <v>327</v>
      </c>
      <c r="M91" s="6" t="s">
        <v>1008</v>
      </c>
      <c r="N91" s="14"/>
    </row>
    <row r="92" ht="15.75" customHeight="1">
      <c r="A92" s="6">
        <v>45.0</v>
      </c>
      <c r="B92" s="12">
        <f t="shared" ref="B92:B93" si="44">$C$2+7*(45-1)</f>
        <v>46502</v>
      </c>
      <c r="C92" s="26" t="s">
        <v>693</v>
      </c>
      <c r="D92" s="6" t="s">
        <v>109</v>
      </c>
      <c r="E92" s="6" t="s">
        <v>396</v>
      </c>
      <c r="F92" s="19" t="s">
        <v>1009</v>
      </c>
      <c r="G92" s="6"/>
      <c r="H92" s="6"/>
      <c r="I92" s="19" t="s">
        <v>280</v>
      </c>
      <c r="J92" s="6"/>
      <c r="K92" s="6" t="s">
        <v>465</v>
      </c>
      <c r="L92" s="6" t="s">
        <v>982</v>
      </c>
      <c r="M92" s="6"/>
      <c r="N92" s="14"/>
    </row>
    <row r="93" ht="15.75" customHeight="1">
      <c r="A93" s="6">
        <v>45.0</v>
      </c>
      <c r="B93" s="12">
        <f t="shared" si="44"/>
        <v>46502</v>
      </c>
      <c r="C93" s="26" t="s">
        <v>693</v>
      </c>
      <c r="D93" s="6" t="s">
        <v>118</v>
      </c>
      <c r="E93" s="6" t="s">
        <v>148</v>
      </c>
      <c r="F93" s="19" t="s">
        <v>828</v>
      </c>
      <c r="G93" s="6"/>
      <c r="H93" s="6"/>
      <c r="I93" s="19" t="s">
        <v>280</v>
      </c>
      <c r="J93" s="6"/>
      <c r="K93" s="6" t="s">
        <v>472</v>
      </c>
      <c r="L93" s="6"/>
      <c r="M93" s="6"/>
      <c r="N93" s="14"/>
    </row>
    <row r="94" ht="15.75" customHeight="1">
      <c r="A94" s="6" t="s">
        <v>830</v>
      </c>
      <c r="B94" s="12">
        <f t="shared" ref="B94:B95" si="45">$C$2+7*(46-1)</f>
        <v>46509</v>
      </c>
      <c r="C94" s="26" t="s">
        <v>693</v>
      </c>
      <c r="D94" s="6" t="s">
        <v>109</v>
      </c>
      <c r="E94" s="6" t="s">
        <v>396</v>
      </c>
      <c r="F94" s="15" t="s">
        <v>1010</v>
      </c>
      <c r="G94" s="6"/>
      <c r="H94" s="6"/>
      <c r="I94" s="16" t="s">
        <v>46</v>
      </c>
      <c r="J94" s="6"/>
      <c r="K94" s="6"/>
      <c r="L94" s="6" t="s">
        <v>1011</v>
      </c>
      <c r="M94" s="6"/>
      <c r="N94" s="14"/>
    </row>
    <row r="95" ht="15.75" customHeight="1">
      <c r="A95" s="6" t="s">
        <v>830</v>
      </c>
      <c r="B95" s="12">
        <f t="shared" si="45"/>
        <v>46509</v>
      </c>
      <c r="C95" s="26" t="s">
        <v>693</v>
      </c>
      <c r="D95" s="6" t="s">
        <v>118</v>
      </c>
      <c r="E95" s="6" t="s">
        <v>148</v>
      </c>
      <c r="F95" s="22" t="s">
        <v>1012</v>
      </c>
      <c r="G95" s="6"/>
      <c r="H95" s="6"/>
      <c r="I95" s="22" t="s">
        <v>326</v>
      </c>
      <c r="J95" s="6"/>
      <c r="K95" s="6"/>
      <c r="L95" s="6" t="s">
        <v>1013</v>
      </c>
      <c r="M95" s="6"/>
      <c r="N95" s="14"/>
    </row>
    <row r="96" ht="15.75" customHeight="1">
      <c r="N96" s="14"/>
    </row>
    <row r="97" ht="15.75" customHeight="1">
      <c r="N97" s="14"/>
    </row>
    <row r="98" ht="15.75" customHeight="1">
      <c r="N98" s="14"/>
    </row>
    <row r="99" ht="15.75" customHeight="1">
      <c r="N99" s="14"/>
    </row>
    <row r="100" ht="15.75" customHeight="1">
      <c r="N100" s="14"/>
    </row>
    <row r="101" ht="15.75" customHeight="1">
      <c r="N101" s="27"/>
    </row>
    <row r="102" ht="15.75" customHeight="1">
      <c r="N102" s="27"/>
    </row>
    <row r="103" ht="15.75" customHeight="1">
      <c r="N103" s="27"/>
    </row>
    <row r="104" ht="15.75" customHeight="1">
      <c r="N104" s="27"/>
    </row>
    <row r="105" ht="15.75" customHeight="1">
      <c r="N105" s="27"/>
    </row>
    <row r="106" ht="15.75" customHeight="1">
      <c r="N106" s="27"/>
    </row>
    <row r="107" ht="15.75" customHeight="1">
      <c r="N107" s="27"/>
    </row>
    <row r="108" ht="15.75" customHeight="1">
      <c r="N108" s="27"/>
    </row>
    <row r="109" ht="15.75" customHeight="1">
      <c r="N109" s="27"/>
    </row>
    <row r="110" ht="15.75" customHeight="1">
      <c r="N110" s="27"/>
    </row>
    <row r="111" ht="15.75" customHeight="1">
      <c r="N111" s="27"/>
    </row>
    <row r="112" ht="15.75" customHeight="1">
      <c r="N112" s="27"/>
    </row>
    <row r="113" ht="15.75" customHeight="1">
      <c r="N113" s="27"/>
    </row>
    <row r="114" ht="15.75" customHeight="1">
      <c r="N114" s="27"/>
    </row>
    <row r="115" ht="15.75" customHeight="1">
      <c r="N115" s="27"/>
    </row>
    <row r="116" ht="15.75" customHeight="1">
      <c r="N116" s="27"/>
    </row>
    <row r="117" ht="15.75" customHeight="1">
      <c r="N117" s="27"/>
    </row>
    <row r="118" ht="15.75" customHeight="1">
      <c r="N118" s="27"/>
    </row>
    <row r="119" ht="15.75" customHeight="1">
      <c r="N119" s="27"/>
    </row>
    <row r="120" ht="15.75" customHeight="1">
      <c r="N120" s="27"/>
    </row>
    <row r="121" ht="15.75" customHeight="1">
      <c r="N121" s="27"/>
    </row>
    <row r="122" ht="15.75" customHeight="1">
      <c r="N122" s="27"/>
    </row>
    <row r="123" ht="15.75" customHeight="1">
      <c r="N123" s="27"/>
    </row>
    <row r="124" ht="15.75" customHeight="1">
      <c r="N124" s="27"/>
    </row>
    <row r="125" ht="15.75" customHeight="1">
      <c r="N125" s="27"/>
    </row>
    <row r="126" ht="15.75" customHeight="1">
      <c r="N126" s="27"/>
    </row>
    <row r="127" ht="15.75" customHeight="1">
      <c r="N127" s="27"/>
    </row>
    <row r="128" ht="15.75" customHeight="1">
      <c r="N128" s="27"/>
    </row>
    <row r="129" ht="15.75" customHeight="1">
      <c r="N129" s="27"/>
    </row>
    <row r="130" ht="15.75" customHeight="1">
      <c r="N130" s="27"/>
    </row>
    <row r="131" ht="15.75" customHeight="1">
      <c r="N131" s="27"/>
    </row>
    <row r="132" ht="15.75" customHeight="1">
      <c r="N132" s="27"/>
    </row>
    <row r="133" ht="15.75" customHeight="1">
      <c r="N133" s="27"/>
    </row>
    <row r="134" ht="15.75" customHeight="1">
      <c r="N134" s="27"/>
    </row>
    <row r="135" ht="15.75" customHeight="1">
      <c r="N135" s="27"/>
    </row>
    <row r="136" ht="15.75" customHeight="1">
      <c r="N136" s="27"/>
    </row>
    <row r="137" ht="15.75" customHeight="1">
      <c r="N137" s="27"/>
    </row>
    <row r="138" ht="15.75" customHeight="1">
      <c r="N138" s="27"/>
    </row>
    <row r="139" ht="15.75" customHeight="1">
      <c r="N139" s="27"/>
    </row>
    <row r="140" ht="15.75" customHeight="1">
      <c r="N140" s="27"/>
    </row>
    <row r="141" ht="15.75" customHeight="1">
      <c r="N141" s="27"/>
    </row>
    <row r="142" ht="15.75" customHeight="1">
      <c r="N142" s="27"/>
    </row>
    <row r="143" ht="15.75" customHeight="1">
      <c r="N143" s="27"/>
    </row>
    <row r="144" ht="15.75" customHeight="1">
      <c r="N144" s="27"/>
    </row>
    <row r="145" ht="15.75" customHeight="1">
      <c r="N145" s="27"/>
    </row>
    <row r="146" ht="15.75" customHeight="1">
      <c r="N146" s="27"/>
    </row>
    <row r="147" ht="15.75" customHeight="1">
      <c r="N147" s="27"/>
    </row>
    <row r="148" ht="15.75" customHeight="1">
      <c r="N148" s="27"/>
    </row>
    <row r="149" ht="15.75" customHeight="1">
      <c r="N149" s="27"/>
    </row>
    <row r="150" ht="15.75" customHeight="1">
      <c r="N150" s="27"/>
    </row>
    <row r="151" ht="15.75" customHeight="1">
      <c r="N151" s="27"/>
    </row>
    <row r="152" ht="15.75" customHeight="1">
      <c r="N152" s="27"/>
    </row>
    <row r="153" ht="15.75" customHeight="1">
      <c r="N153" s="27"/>
    </row>
    <row r="154" ht="15.75" customHeight="1">
      <c r="N154" s="27"/>
    </row>
    <row r="155" ht="15.75" customHeight="1">
      <c r="N155" s="27"/>
    </row>
    <row r="156" ht="15.75" customHeight="1">
      <c r="N156" s="27"/>
    </row>
    <row r="157" ht="15.75" customHeight="1">
      <c r="N157" s="27"/>
    </row>
    <row r="158" ht="15.75" customHeight="1">
      <c r="N158" s="27"/>
    </row>
    <row r="159" ht="15.75" customHeight="1">
      <c r="N159" s="27"/>
    </row>
    <row r="160" ht="15.75" customHeight="1">
      <c r="N160" s="27"/>
    </row>
    <row r="161" ht="15.75" customHeight="1">
      <c r="N161" s="27"/>
    </row>
    <row r="162" ht="15.75" customHeight="1">
      <c r="N162" s="27"/>
    </row>
    <row r="163" ht="15.75" customHeight="1">
      <c r="N163" s="27"/>
    </row>
    <row r="164" ht="15.75" customHeight="1">
      <c r="N164" s="27"/>
    </row>
    <row r="165" ht="15.75" customHeight="1">
      <c r="N165" s="27"/>
    </row>
    <row r="166" ht="15.75" customHeight="1">
      <c r="N166" s="27"/>
    </row>
    <row r="167" ht="15.75" customHeight="1">
      <c r="N167" s="27"/>
    </row>
    <row r="168" ht="15.75" customHeight="1">
      <c r="N168" s="27"/>
    </row>
    <row r="169" ht="15.75" customHeight="1">
      <c r="N169" s="27"/>
    </row>
    <row r="170" ht="15.75" customHeight="1">
      <c r="N170" s="27"/>
    </row>
    <row r="171" ht="15.75" customHeight="1">
      <c r="N171" s="27"/>
    </row>
    <row r="172" ht="15.75" customHeight="1">
      <c r="N172" s="27"/>
    </row>
    <row r="173" ht="15.75" customHeight="1">
      <c r="N173" s="27"/>
    </row>
    <row r="174" ht="15.75" customHeight="1">
      <c r="N174" s="27"/>
    </row>
    <row r="175" ht="15.75" customHeight="1">
      <c r="N175" s="27"/>
    </row>
    <row r="176" ht="15.75" customHeight="1">
      <c r="N176" s="27"/>
    </row>
    <row r="177" ht="15.75" customHeight="1">
      <c r="N177" s="27"/>
    </row>
    <row r="178" ht="15.75" customHeight="1">
      <c r="N178" s="27"/>
    </row>
    <row r="179" ht="15.75" customHeight="1">
      <c r="N179" s="27"/>
    </row>
    <row r="180" ht="15.75" customHeight="1">
      <c r="N180" s="27"/>
    </row>
    <row r="181" ht="15.75" customHeight="1">
      <c r="N181" s="27"/>
    </row>
    <row r="182" ht="15.75" customHeight="1">
      <c r="N182" s="27"/>
    </row>
    <row r="183" ht="15.75" customHeight="1">
      <c r="N183" s="27"/>
    </row>
    <row r="184" ht="15.75" customHeight="1">
      <c r="N184" s="27"/>
    </row>
    <row r="185" ht="15.75" customHeight="1">
      <c r="N185" s="27"/>
    </row>
    <row r="186" ht="15.75" customHeight="1">
      <c r="N186" s="27"/>
    </row>
    <row r="187" ht="15.75" customHeight="1">
      <c r="N187" s="27"/>
    </row>
    <row r="188" ht="15.75" customHeight="1">
      <c r="N188" s="27"/>
    </row>
    <row r="189" ht="15.75" customHeight="1">
      <c r="N189" s="27"/>
    </row>
    <row r="190" ht="15.75" customHeight="1">
      <c r="N190" s="27"/>
    </row>
    <row r="191" ht="15.75" customHeight="1">
      <c r="N191" s="27"/>
    </row>
    <row r="192" ht="15.75" customHeight="1">
      <c r="N192" s="27"/>
    </row>
    <row r="193" ht="15.75" customHeight="1">
      <c r="N193" s="27"/>
    </row>
    <row r="194" ht="15.75" customHeight="1">
      <c r="N194" s="27"/>
    </row>
    <row r="195" ht="15.75" customHeight="1">
      <c r="N195" s="27"/>
    </row>
    <row r="196" ht="15.75" customHeight="1">
      <c r="N196" s="27"/>
    </row>
    <row r="197" ht="15.75" customHeight="1">
      <c r="N197" s="27"/>
    </row>
    <row r="198" ht="15.75" customHeight="1">
      <c r="N198" s="27"/>
    </row>
    <row r="199" ht="15.75" customHeight="1">
      <c r="N199" s="27"/>
    </row>
    <row r="200" ht="15.75" customHeight="1">
      <c r="N200" s="27"/>
    </row>
    <row r="201" ht="15.75" customHeight="1">
      <c r="N201" s="27"/>
    </row>
    <row r="202" ht="15.75" customHeight="1">
      <c r="N202" s="27"/>
    </row>
    <row r="203" ht="15.75" customHeight="1">
      <c r="N203" s="27"/>
    </row>
    <row r="204" ht="15.75" customHeight="1">
      <c r="N204" s="27"/>
    </row>
    <row r="205" ht="15.75" customHeight="1">
      <c r="N205" s="27"/>
    </row>
    <row r="206" ht="15.75" customHeight="1">
      <c r="N206" s="27"/>
    </row>
    <row r="207" ht="15.75" customHeight="1">
      <c r="N207" s="27"/>
    </row>
    <row r="208" ht="15.75" customHeight="1">
      <c r="N208" s="27"/>
    </row>
    <row r="209" ht="15.75" customHeight="1">
      <c r="N209" s="27"/>
    </row>
    <row r="210" ht="15.75" customHeight="1">
      <c r="N210" s="27"/>
    </row>
    <row r="211" ht="15.75" customHeight="1">
      <c r="N211" s="27"/>
    </row>
    <row r="212" ht="15.75" customHeight="1">
      <c r="N212" s="27"/>
    </row>
    <row r="213" ht="15.75" customHeight="1">
      <c r="N213" s="27"/>
    </row>
    <row r="214" ht="15.75" customHeight="1">
      <c r="N214" s="27"/>
    </row>
    <row r="215" ht="15.75" customHeight="1">
      <c r="N215" s="27"/>
    </row>
    <row r="216" ht="15.75" customHeight="1">
      <c r="N216" s="27"/>
    </row>
    <row r="217" ht="15.75" customHeight="1">
      <c r="N217" s="27"/>
    </row>
    <row r="218" ht="15.75" customHeight="1">
      <c r="N218" s="27"/>
    </row>
    <row r="219" ht="15.75" customHeight="1">
      <c r="N219" s="27"/>
    </row>
    <row r="220" ht="15.75" customHeight="1">
      <c r="N220" s="27"/>
    </row>
    <row r="221" ht="15.75" customHeight="1">
      <c r="N221" s="27"/>
    </row>
    <row r="222" ht="15.75" customHeight="1">
      <c r="N222" s="27"/>
    </row>
    <row r="223" ht="15.75" customHeight="1">
      <c r="N223" s="27"/>
    </row>
    <row r="224" ht="15.75" customHeight="1">
      <c r="N224" s="27"/>
    </row>
    <row r="225" ht="15.75" customHeight="1">
      <c r="N225" s="27"/>
    </row>
    <row r="226" ht="15.75" customHeight="1">
      <c r="N226" s="27"/>
    </row>
    <row r="227" ht="15.75" customHeight="1">
      <c r="N227" s="27"/>
    </row>
    <row r="228" ht="15.75" customHeight="1">
      <c r="N228" s="27"/>
    </row>
    <row r="229" ht="15.75" customHeight="1">
      <c r="N229" s="27"/>
    </row>
    <row r="230" ht="15.75" customHeight="1">
      <c r="N230" s="27"/>
    </row>
    <row r="231" ht="15.75" customHeight="1">
      <c r="N231" s="27"/>
    </row>
    <row r="232" ht="15.75" customHeight="1">
      <c r="N232" s="27"/>
    </row>
    <row r="233" ht="15.75" customHeight="1">
      <c r="N233" s="27"/>
    </row>
    <row r="234" ht="15.75" customHeight="1">
      <c r="N234" s="27"/>
    </row>
    <row r="235" ht="15.75" customHeight="1">
      <c r="N235" s="27"/>
    </row>
    <row r="236" ht="15.75" customHeight="1">
      <c r="N236" s="27"/>
    </row>
    <row r="237" ht="15.75" customHeight="1">
      <c r="N237" s="27"/>
    </row>
    <row r="238" ht="15.75" customHeight="1">
      <c r="N238" s="27"/>
    </row>
    <row r="239" ht="15.75" customHeight="1">
      <c r="N239" s="27"/>
    </row>
    <row r="240" ht="15.75" customHeight="1">
      <c r="N240" s="27"/>
    </row>
    <row r="241" ht="15.75" customHeight="1">
      <c r="N241" s="27"/>
    </row>
    <row r="242" ht="15.75" customHeight="1">
      <c r="N242" s="27"/>
    </row>
    <row r="243" ht="15.75" customHeight="1">
      <c r="N243" s="27"/>
    </row>
    <row r="244" ht="15.75" customHeight="1">
      <c r="N244" s="27"/>
    </row>
    <row r="245" ht="15.75" customHeight="1">
      <c r="N245" s="27"/>
    </row>
    <row r="246" ht="15.75" customHeight="1">
      <c r="N246" s="27"/>
    </row>
    <row r="247" ht="15.75" customHeight="1">
      <c r="N247" s="27"/>
    </row>
    <row r="248" ht="15.75" customHeight="1">
      <c r="N248" s="27"/>
    </row>
    <row r="249" ht="15.75" customHeight="1">
      <c r="N249" s="27"/>
    </row>
    <row r="250" ht="15.75" customHeight="1">
      <c r="N250" s="27"/>
    </row>
    <row r="251" ht="15.75" customHeight="1">
      <c r="N251" s="27"/>
    </row>
    <row r="252" ht="15.75" customHeight="1">
      <c r="N252" s="27"/>
    </row>
    <row r="253" ht="15.75" customHeight="1">
      <c r="N253" s="27"/>
    </row>
    <row r="254" ht="15.75" customHeight="1">
      <c r="N254" s="27"/>
    </row>
    <row r="255" ht="15.75" customHeight="1">
      <c r="N255" s="27"/>
    </row>
    <row r="256" ht="15.75" customHeight="1">
      <c r="N256" s="27"/>
    </row>
    <row r="257" ht="15.75" customHeight="1">
      <c r="N257" s="27"/>
    </row>
    <row r="258" ht="15.75" customHeight="1">
      <c r="N258" s="27"/>
    </row>
    <row r="259" ht="15.75" customHeight="1">
      <c r="N259" s="27"/>
    </row>
    <row r="260" ht="15.75" customHeight="1">
      <c r="N260" s="27"/>
    </row>
    <row r="261" ht="15.75" customHeight="1">
      <c r="N261" s="27"/>
    </row>
    <row r="262" ht="15.75" customHeight="1">
      <c r="N262" s="27"/>
    </row>
    <row r="263" ht="15.75" customHeight="1">
      <c r="N263" s="27"/>
    </row>
    <row r="264" ht="15.75" customHeight="1">
      <c r="N264" s="27"/>
    </row>
    <row r="265" ht="15.75" customHeight="1">
      <c r="N265" s="27"/>
    </row>
    <row r="266" ht="15.75" customHeight="1">
      <c r="N266" s="27"/>
    </row>
    <row r="267" ht="15.75" customHeight="1">
      <c r="N267" s="27"/>
    </row>
    <row r="268" ht="15.75" customHeight="1">
      <c r="N268" s="27"/>
    </row>
    <row r="269" ht="15.75" customHeight="1">
      <c r="N269" s="27"/>
    </row>
    <row r="270" ht="15.75" customHeight="1">
      <c r="N270" s="27"/>
    </row>
    <row r="271" ht="15.75" customHeight="1">
      <c r="N271" s="27"/>
    </row>
    <row r="272" ht="15.75" customHeight="1">
      <c r="N272" s="27"/>
    </row>
    <row r="273" ht="15.75" customHeight="1">
      <c r="N273" s="27"/>
    </row>
    <row r="274" ht="15.75" customHeight="1">
      <c r="N274" s="27"/>
    </row>
    <row r="275" ht="15.75" customHeight="1">
      <c r="N275" s="27"/>
    </row>
    <row r="276" ht="15.75" customHeight="1">
      <c r="N276" s="27"/>
    </row>
    <row r="277" ht="15.75" customHeight="1">
      <c r="N277" s="27"/>
    </row>
    <row r="278" ht="15.75" customHeight="1">
      <c r="N278" s="27"/>
    </row>
    <row r="279" ht="15.75" customHeight="1">
      <c r="N279" s="27"/>
    </row>
    <row r="280" ht="15.75" customHeight="1">
      <c r="N280" s="27"/>
    </row>
    <row r="281" ht="15.75" customHeight="1">
      <c r="N281" s="27"/>
    </row>
    <row r="282" ht="15.75" customHeight="1">
      <c r="N282" s="27"/>
    </row>
    <row r="283" ht="15.75" customHeight="1">
      <c r="N283" s="27"/>
    </row>
    <row r="284" ht="15.75" customHeight="1">
      <c r="N284" s="27"/>
    </row>
    <row r="285" ht="15.75" customHeight="1">
      <c r="N285" s="27"/>
    </row>
    <row r="286" ht="15.75" customHeight="1">
      <c r="N286" s="27"/>
    </row>
    <row r="287" ht="15.75" customHeight="1">
      <c r="N287" s="27"/>
    </row>
    <row r="288" ht="15.75" customHeight="1">
      <c r="N288" s="27"/>
    </row>
    <row r="289" ht="15.75" customHeight="1">
      <c r="N289" s="27"/>
    </row>
    <row r="290" ht="15.75" customHeight="1">
      <c r="N290" s="27"/>
    </row>
    <row r="291" ht="15.75" customHeight="1">
      <c r="N291" s="27"/>
    </row>
    <row r="292" ht="15.75" customHeight="1">
      <c r="N292" s="27"/>
    </row>
    <row r="293" ht="15.75" customHeight="1">
      <c r="N293" s="27"/>
    </row>
    <row r="294" ht="15.75" customHeight="1">
      <c r="N294" s="27"/>
    </row>
    <row r="295" ht="15.75" customHeight="1">
      <c r="N295" s="27"/>
    </row>
    <row r="296" ht="15.75" customHeight="1">
      <c r="N296" s="27"/>
    </row>
    <row r="297" ht="15.75" customHeight="1">
      <c r="N297" s="27"/>
    </row>
    <row r="298" ht="15.75" customHeight="1">
      <c r="N298" s="27"/>
    </row>
    <row r="299" ht="15.75" customHeight="1">
      <c r="N299" s="27"/>
    </row>
    <row r="300" ht="15.75" customHeight="1">
      <c r="N300" s="27"/>
    </row>
    <row r="301" ht="15.75" customHeight="1">
      <c r="N301" s="27"/>
    </row>
    <row r="302" ht="15.75" customHeight="1">
      <c r="N302" s="27"/>
    </row>
    <row r="303" ht="15.75" customHeight="1">
      <c r="N303" s="27"/>
    </row>
    <row r="304" ht="15.75" customHeight="1">
      <c r="N304" s="27"/>
    </row>
    <row r="305" ht="15.75" customHeight="1">
      <c r="N305" s="27"/>
    </row>
    <row r="306" ht="15.75" customHeight="1">
      <c r="N306" s="27"/>
    </row>
    <row r="307" ht="15.75" customHeight="1">
      <c r="N307" s="27"/>
    </row>
    <row r="308" ht="15.75" customHeight="1">
      <c r="N308" s="27"/>
    </row>
    <row r="309" ht="15.75" customHeight="1">
      <c r="N309" s="27"/>
    </row>
    <row r="310" ht="15.75" customHeight="1">
      <c r="N310" s="27"/>
    </row>
    <row r="311" ht="15.75" customHeight="1">
      <c r="N311" s="27"/>
    </row>
    <row r="312" ht="15.75" customHeight="1">
      <c r="N312" s="27"/>
    </row>
    <row r="313" ht="15.75" customHeight="1">
      <c r="N313" s="27"/>
    </row>
    <row r="314" ht="15.75" customHeight="1">
      <c r="N314" s="27"/>
    </row>
    <row r="315" ht="15.75" customHeight="1">
      <c r="N315" s="27"/>
    </row>
    <row r="316" ht="15.75" customHeight="1">
      <c r="N316" s="27"/>
    </row>
    <row r="317" ht="15.75" customHeight="1">
      <c r="N317" s="27"/>
    </row>
    <row r="318" ht="15.75" customHeight="1">
      <c r="N318" s="27"/>
    </row>
    <row r="319" ht="15.75" customHeight="1">
      <c r="N319" s="27"/>
    </row>
    <row r="320" ht="15.75" customHeight="1">
      <c r="N320" s="27"/>
    </row>
    <row r="321" ht="15.75" customHeight="1">
      <c r="N321" s="27"/>
    </row>
    <row r="322" ht="15.75" customHeight="1">
      <c r="N322" s="27"/>
    </row>
    <row r="323" ht="15.75" customHeight="1">
      <c r="N323" s="27"/>
    </row>
    <row r="324" ht="15.75" customHeight="1">
      <c r="N324" s="27"/>
    </row>
    <row r="325" ht="15.75" customHeight="1">
      <c r="N325" s="27"/>
    </row>
    <row r="326" ht="15.75" customHeight="1">
      <c r="N326" s="27"/>
    </row>
    <row r="327" ht="15.75" customHeight="1">
      <c r="N327" s="27"/>
    </row>
    <row r="328" ht="15.75" customHeight="1">
      <c r="N328" s="27"/>
    </row>
    <row r="329" ht="15.75" customHeight="1">
      <c r="N329" s="27"/>
    </row>
    <row r="330" ht="15.75" customHeight="1">
      <c r="N330" s="27"/>
    </row>
    <row r="331" ht="15.75" customHeight="1">
      <c r="N331" s="27"/>
    </row>
    <row r="332" ht="15.75" customHeight="1">
      <c r="N332" s="27"/>
    </row>
    <row r="333" ht="15.75" customHeight="1">
      <c r="N333" s="27"/>
    </row>
    <row r="334" ht="15.75" customHeight="1">
      <c r="N334" s="27"/>
    </row>
    <row r="335" ht="15.75" customHeight="1">
      <c r="N335" s="27"/>
    </row>
    <row r="336" ht="15.75" customHeight="1">
      <c r="N336" s="27"/>
    </row>
    <row r="337" ht="15.75" customHeight="1">
      <c r="N337" s="27"/>
    </row>
    <row r="338" ht="15.75" customHeight="1">
      <c r="N338" s="27"/>
    </row>
    <row r="339" ht="15.75" customHeight="1">
      <c r="N339" s="27"/>
    </row>
    <row r="340" ht="15.75" customHeight="1">
      <c r="N340" s="27"/>
    </row>
    <row r="341" ht="15.75" customHeight="1">
      <c r="N341" s="27"/>
    </row>
    <row r="342" ht="15.75" customHeight="1">
      <c r="N342" s="27"/>
    </row>
    <row r="343" ht="15.75" customHeight="1">
      <c r="N343" s="27"/>
    </row>
    <row r="344" ht="15.75" customHeight="1">
      <c r="N344" s="27"/>
    </row>
    <row r="345" ht="15.75" customHeight="1">
      <c r="N345" s="27"/>
    </row>
    <row r="346" ht="15.75" customHeight="1">
      <c r="N346" s="27"/>
    </row>
    <row r="347" ht="15.75" customHeight="1">
      <c r="N347" s="27"/>
    </row>
    <row r="348" ht="15.75" customHeight="1">
      <c r="N348" s="27"/>
    </row>
    <row r="349" ht="15.75" customHeight="1">
      <c r="N349" s="27"/>
    </row>
    <row r="350" ht="15.75" customHeight="1">
      <c r="N350" s="27"/>
    </row>
    <row r="351" ht="15.75" customHeight="1">
      <c r="N351" s="27"/>
    </row>
    <row r="352" ht="15.75" customHeight="1">
      <c r="N352" s="27"/>
    </row>
    <row r="353" ht="15.75" customHeight="1">
      <c r="N353" s="27"/>
    </row>
    <row r="354" ht="15.75" customHeight="1">
      <c r="N354" s="27"/>
    </row>
    <row r="355" ht="15.75" customHeight="1">
      <c r="N355" s="27"/>
    </row>
    <row r="356" ht="15.75" customHeight="1">
      <c r="N356" s="27"/>
    </row>
    <row r="357" ht="15.75" customHeight="1">
      <c r="N357" s="27"/>
    </row>
    <row r="358" ht="15.75" customHeight="1">
      <c r="N358" s="27"/>
    </row>
    <row r="359" ht="15.75" customHeight="1">
      <c r="N359" s="27"/>
    </row>
    <row r="360" ht="15.75" customHeight="1">
      <c r="N360" s="27"/>
    </row>
    <row r="361" ht="15.75" customHeight="1">
      <c r="N361" s="27"/>
    </row>
    <row r="362" ht="15.75" customHeight="1">
      <c r="N362" s="27"/>
    </row>
    <row r="363" ht="15.75" customHeight="1">
      <c r="N363" s="27"/>
    </row>
    <row r="364" ht="15.75" customHeight="1">
      <c r="N364" s="27"/>
    </row>
    <row r="365" ht="15.75" customHeight="1">
      <c r="N365" s="27"/>
    </row>
    <row r="366" ht="15.75" customHeight="1">
      <c r="N366" s="27"/>
    </row>
    <row r="367" ht="15.75" customHeight="1">
      <c r="N367" s="27"/>
    </row>
    <row r="368" ht="15.75" customHeight="1">
      <c r="N368" s="27"/>
    </row>
    <row r="369" ht="15.75" customHeight="1">
      <c r="N369" s="27"/>
    </row>
    <row r="370" ht="15.75" customHeight="1">
      <c r="N370" s="27"/>
    </row>
    <row r="371" ht="15.75" customHeight="1">
      <c r="N371" s="27"/>
    </row>
    <row r="372" ht="15.75" customHeight="1">
      <c r="N372" s="27"/>
    </row>
    <row r="373" ht="15.75" customHeight="1">
      <c r="N373" s="27"/>
    </row>
    <row r="374" ht="15.75" customHeight="1">
      <c r="N374" s="27"/>
    </row>
    <row r="375" ht="15.75" customHeight="1">
      <c r="N375" s="27"/>
    </row>
    <row r="376" ht="15.75" customHeight="1">
      <c r="N376" s="27"/>
    </row>
    <row r="377" ht="15.75" customHeight="1">
      <c r="N377" s="27"/>
    </row>
    <row r="378" ht="15.75" customHeight="1">
      <c r="N378" s="27"/>
    </row>
    <row r="379" ht="15.75" customHeight="1">
      <c r="N379" s="27"/>
    </row>
    <row r="380" ht="15.75" customHeight="1">
      <c r="N380" s="27"/>
    </row>
    <row r="381" ht="15.75" customHeight="1">
      <c r="N381" s="27"/>
    </row>
    <row r="382" ht="15.75" customHeight="1">
      <c r="N382" s="27"/>
    </row>
    <row r="383" ht="15.75" customHeight="1">
      <c r="N383" s="27"/>
    </row>
    <row r="384" ht="15.75" customHeight="1">
      <c r="N384" s="27"/>
    </row>
    <row r="385" ht="15.75" customHeight="1">
      <c r="N385" s="27"/>
    </row>
    <row r="386" ht="15.75" customHeight="1">
      <c r="N386" s="27"/>
    </row>
    <row r="387" ht="15.75" customHeight="1">
      <c r="N387" s="27"/>
    </row>
    <row r="388" ht="15.75" customHeight="1">
      <c r="N388" s="27"/>
    </row>
    <row r="389" ht="15.75" customHeight="1">
      <c r="N389" s="27"/>
    </row>
    <row r="390" ht="15.75" customHeight="1">
      <c r="N390" s="27"/>
    </row>
    <row r="391" ht="15.75" customHeight="1">
      <c r="N391" s="27"/>
    </row>
    <row r="392" ht="15.75" customHeight="1">
      <c r="N392" s="27"/>
    </row>
    <row r="393" ht="15.75" customHeight="1">
      <c r="N393" s="27"/>
    </row>
    <row r="394" ht="15.75" customHeight="1">
      <c r="N394" s="27"/>
    </row>
    <row r="395" ht="15.75" customHeight="1">
      <c r="N395" s="27"/>
    </row>
    <row r="396" ht="15.75" customHeight="1">
      <c r="N396" s="27"/>
    </row>
    <row r="397" ht="15.75" customHeight="1">
      <c r="N397" s="27"/>
    </row>
    <row r="398" ht="15.75" customHeight="1">
      <c r="N398" s="27"/>
    </row>
    <row r="399" ht="15.75" customHeight="1">
      <c r="N399" s="27"/>
    </row>
    <row r="400" ht="15.75" customHeight="1">
      <c r="N400" s="27"/>
    </row>
    <row r="401" ht="15.75" customHeight="1">
      <c r="N401" s="27"/>
    </row>
    <row r="402" ht="15.75" customHeight="1">
      <c r="N402" s="27"/>
    </row>
    <row r="403" ht="15.75" customHeight="1">
      <c r="N403" s="27"/>
    </row>
    <row r="404" ht="15.75" customHeight="1">
      <c r="N404" s="27"/>
    </row>
    <row r="405" ht="15.75" customHeight="1">
      <c r="N405" s="27"/>
    </row>
    <row r="406" ht="15.75" customHeight="1">
      <c r="N406" s="27"/>
    </row>
    <row r="407" ht="15.75" customHeight="1">
      <c r="N407" s="27"/>
    </row>
    <row r="408" ht="15.75" customHeight="1">
      <c r="N408" s="27"/>
    </row>
    <row r="409" ht="15.75" customHeight="1">
      <c r="N409" s="27"/>
    </row>
    <row r="410" ht="15.75" customHeight="1">
      <c r="N410" s="27"/>
    </row>
    <row r="411" ht="15.75" customHeight="1">
      <c r="N411" s="27"/>
    </row>
    <row r="412" ht="15.75" customHeight="1">
      <c r="N412" s="27"/>
    </row>
    <row r="413" ht="15.75" customHeight="1">
      <c r="N413" s="27"/>
    </row>
    <row r="414" ht="15.75" customHeight="1">
      <c r="N414" s="27"/>
    </row>
    <row r="415" ht="15.75" customHeight="1">
      <c r="N415" s="27"/>
    </row>
    <row r="416" ht="15.75" customHeight="1">
      <c r="N416" s="27"/>
    </row>
    <row r="417" ht="15.75" customHeight="1">
      <c r="N417" s="27"/>
    </row>
    <row r="418" ht="15.75" customHeight="1">
      <c r="N418" s="27"/>
    </row>
    <row r="419" ht="15.75" customHeight="1">
      <c r="N419" s="27"/>
    </row>
    <row r="420" ht="15.75" customHeight="1">
      <c r="N420" s="27"/>
    </row>
    <row r="421" ht="15.75" customHeight="1">
      <c r="N421" s="27"/>
    </row>
    <row r="422" ht="15.75" customHeight="1">
      <c r="N422" s="27"/>
    </row>
    <row r="423" ht="15.75" customHeight="1">
      <c r="N423" s="27"/>
    </row>
    <row r="424" ht="15.75" customHeight="1">
      <c r="N424" s="27"/>
    </row>
    <row r="425" ht="15.75" customHeight="1">
      <c r="N425" s="27"/>
    </row>
    <row r="426" ht="15.75" customHeight="1">
      <c r="N426" s="27"/>
    </row>
    <row r="427" ht="15.75" customHeight="1">
      <c r="N427" s="27"/>
    </row>
    <row r="428" ht="15.75" customHeight="1">
      <c r="N428" s="27"/>
    </row>
    <row r="429" ht="15.75" customHeight="1">
      <c r="N429" s="27"/>
    </row>
    <row r="430" ht="15.75" customHeight="1">
      <c r="N430" s="27"/>
    </row>
    <row r="431" ht="15.75" customHeight="1">
      <c r="N431" s="27"/>
    </row>
    <row r="432" ht="15.75" customHeight="1">
      <c r="N432" s="27"/>
    </row>
    <row r="433" ht="15.75" customHeight="1">
      <c r="N433" s="27"/>
    </row>
    <row r="434" ht="15.75" customHeight="1">
      <c r="N434" s="27"/>
    </row>
    <row r="435" ht="15.75" customHeight="1">
      <c r="N435" s="27"/>
    </row>
    <row r="436" ht="15.75" customHeight="1">
      <c r="N436" s="27"/>
    </row>
    <row r="437" ht="15.75" customHeight="1">
      <c r="N437" s="27"/>
    </row>
    <row r="438" ht="15.75" customHeight="1">
      <c r="N438" s="27"/>
    </row>
    <row r="439" ht="15.75" customHeight="1">
      <c r="N439" s="27"/>
    </row>
    <row r="440" ht="15.75" customHeight="1">
      <c r="N440" s="27"/>
    </row>
    <row r="441" ht="15.75" customHeight="1">
      <c r="N441" s="27"/>
    </row>
    <row r="442" ht="15.75" customHeight="1">
      <c r="N442" s="27"/>
    </row>
    <row r="443" ht="15.75" customHeight="1">
      <c r="N443" s="27"/>
    </row>
    <row r="444" ht="15.75" customHeight="1">
      <c r="N444" s="27"/>
    </row>
    <row r="445" ht="15.75" customHeight="1">
      <c r="N445" s="27"/>
    </row>
    <row r="446" ht="15.75" customHeight="1">
      <c r="N446" s="27"/>
    </row>
    <row r="447" ht="15.75" customHeight="1">
      <c r="N447" s="27"/>
    </row>
    <row r="448" ht="15.75" customHeight="1">
      <c r="N448" s="27"/>
    </row>
    <row r="449" ht="15.75" customHeight="1">
      <c r="N449" s="27"/>
    </row>
    <row r="450" ht="15.75" customHeight="1">
      <c r="N450" s="27"/>
    </row>
    <row r="451" ht="15.75" customHeight="1">
      <c r="N451" s="27"/>
    </row>
    <row r="452" ht="15.75" customHeight="1">
      <c r="N452" s="27"/>
    </row>
    <row r="453" ht="15.75" customHeight="1">
      <c r="N453" s="27"/>
    </row>
    <row r="454" ht="15.75" customHeight="1">
      <c r="N454" s="27"/>
    </row>
    <row r="455" ht="15.75" customHeight="1">
      <c r="N455" s="27"/>
    </row>
    <row r="456" ht="15.75" customHeight="1">
      <c r="N456" s="27"/>
    </row>
    <row r="457" ht="15.75" customHeight="1">
      <c r="N457" s="27"/>
    </row>
    <row r="458" ht="15.75" customHeight="1">
      <c r="N458" s="27"/>
    </row>
    <row r="459" ht="15.75" customHeight="1">
      <c r="N459" s="27"/>
    </row>
    <row r="460" ht="15.75" customHeight="1">
      <c r="N460" s="27"/>
    </row>
    <row r="461" ht="15.75" customHeight="1">
      <c r="N461" s="27"/>
    </row>
    <row r="462" ht="15.75" customHeight="1">
      <c r="N462" s="27"/>
    </row>
    <row r="463" ht="15.75" customHeight="1">
      <c r="N463" s="27"/>
    </row>
    <row r="464" ht="15.75" customHeight="1">
      <c r="N464" s="27"/>
    </row>
    <row r="465" ht="15.75" customHeight="1">
      <c r="N465" s="27"/>
    </row>
    <row r="466" ht="15.75" customHeight="1">
      <c r="N466" s="27"/>
    </row>
    <row r="467" ht="15.75" customHeight="1">
      <c r="N467" s="27"/>
    </row>
    <row r="468" ht="15.75" customHeight="1">
      <c r="N468" s="27"/>
    </row>
    <row r="469" ht="15.75" customHeight="1">
      <c r="N469" s="27"/>
    </row>
    <row r="470" ht="15.75" customHeight="1">
      <c r="N470" s="27"/>
    </row>
    <row r="471" ht="15.75" customHeight="1">
      <c r="N471" s="27"/>
    </row>
    <row r="472" ht="15.75" customHeight="1">
      <c r="N472" s="27"/>
    </row>
    <row r="473" ht="15.75" customHeight="1">
      <c r="N473" s="27"/>
    </row>
    <row r="474" ht="15.75" customHeight="1">
      <c r="N474" s="27"/>
    </row>
    <row r="475" ht="15.75" customHeight="1">
      <c r="N475" s="27"/>
    </row>
    <row r="476" ht="15.75" customHeight="1">
      <c r="N476" s="27"/>
    </row>
    <row r="477" ht="15.75" customHeight="1">
      <c r="N477" s="27"/>
    </row>
    <row r="478" ht="15.75" customHeight="1">
      <c r="N478" s="27"/>
    </row>
    <row r="479" ht="15.75" customHeight="1">
      <c r="N479" s="27"/>
    </row>
    <row r="480" ht="15.75" customHeight="1">
      <c r="N480" s="27"/>
    </row>
    <row r="481" ht="15.75" customHeight="1">
      <c r="N481" s="27"/>
    </row>
    <row r="482" ht="15.75" customHeight="1">
      <c r="N482" s="27"/>
    </row>
    <row r="483" ht="15.75" customHeight="1">
      <c r="N483" s="27"/>
    </row>
    <row r="484" ht="15.75" customHeight="1">
      <c r="N484" s="27"/>
    </row>
    <row r="485" ht="15.75" customHeight="1">
      <c r="N485" s="27"/>
    </row>
    <row r="486" ht="15.75" customHeight="1">
      <c r="N486" s="27"/>
    </row>
    <row r="487" ht="15.75" customHeight="1">
      <c r="N487" s="27"/>
    </row>
    <row r="488" ht="15.75" customHeight="1">
      <c r="N488" s="27"/>
    </row>
    <row r="489" ht="15.75" customHeight="1">
      <c r="N489" s="27"/>
    </row>
    <row r="490" ht="15.75" customHeight="1">
      <c r="N490" s="27"/>
    </row>
    <row r="491" ht="15.75" customHeight="1">
      <c r="N491" s="27"/>
    </row>
    <row r="492" ht="15.75" customHeight="1">
      <c r="N492" s="27"/>
    </row>
    <row r="493" ht="15.75" customHeight="1">
      <c r="N493" s="27"/>
    </row>
    <row r="494" ht="15.75" customHeight="1">
      <c r="N494" s="27"/>
    </row>
    <row r="495" ht="15.75" customHeight="1">
      <c r="N495" s="27"/>
    </row>
    <row r="496" ht="15.75" customHeight="1">
      <c r="N496" s="27"/>
    </row>
    <row r="497" ht="15.75" customHeight="1">
      <c r="N497" s="27"/>
    </row>
    <row r="498" ht="15.75" customHeight="1">
      <c r="N498" s="27"/>
    </row>
    <row r="499" ht="15.75" customHeight="1">
      <c r="N499" s="27"/>
    </row>
    <row r="500" ht="15.75" customHeight="1">
      <c r="N500" s="27"/>
    </row>
    <row r="501" ht="15.75" customHeight="1">
      <c r="N501" s="27"/>
    </row>
    <row r="502" ht="15.75" customHeight="1">
      <c r="N502" s="27"/>
    </row>
    <row r="503" ht="15.75" customHeight="1">
      <c r="N503" s="27"/>
    </row>
    <row r="504" ht="15.75" customHeight="1">
      <c r="N504" s="27"/>
    </row>
    <row r="505" ht="15.75" customHeight="1">
      <c r="N505" s="27"/>
    </row>
    <row r="506" ht="15.75" customHeight="1">
      <c r="N506" s="27"/>
    </row>
    <row r="507" ht="15.75" customHeight="1">
      <c r="N507" s="27"/>
    </row>
    <row r="508" ht="15.75" customHeight="1">
      <c r="N508" s="27"/>
    </row>
    <row r="509" ht="15.75" customHeight="1">
      <c r="N509" s="27"/>
    </row>
    <row r="510" ht="15.75" customHeight="1">
      <c r="N510" s="27"/>
    </row>
    <row r="511" ht="15.75" customHeight="1">
      <c r="N511" s="27"/>
    </row>
    <row r="512" ht="15.75" customHeight="1">
      <c r="N512" s="27"/>
    </row>
    <row r="513" ht="15.75" customHeight="1">
      <c r="N513" s="27"/>
    </row>
    <row r="514" ht="15.75" customHeight="1">
      <c r="N514" s="27"/>
    </row>
    <row r="515" ht="15.75" customHeight="1">
      <c r="N515" s="27"/>
    </row>
    <row r="516" ht="15.75" customHeight="1">
      <c r="N516" s="27"/>
    </row>
    <row r="517" ht="15.75" customHeight="1">
      <c r="N517" s="27"/>
    </row>
    <row r="518" ht="15.75" customHeight="1">
      <c r="N518" s="27"/>
    </row>
    <row r="519" ht="15.75" customHeight="1">
      <c r="N519" s="27"/>
    </row>
    <row r="520" ht="15.75" customHeight="1">
      <c r="N520" s="27"/>
    </row>
    <row r="521" ht="15.75" customHeight="1">
      <c r="N521" s="27"/>
    </row>
    <row r="522" ht="15.75" customHeight="1">
      <c r="N522" s="27"/>
    </row>
    <row r="523" ht="15.75" customHeight="1">
      <c r="N523" s="27"/>
    </row>
    <row r="524" ht="15.75" customHeight="1">
      <c r="N524" s="27"/>
    </row>
    <row r="525" ht="15.75" customHeight="1">
      <c r="N525" s="27"/>
    </row>
    <row r="526" ht="15.75" customHeight="1">
      <c r="N526" s="27"/>
    </row>
    <row r="527" ht="15.75" customHeight="1">
      <c r="N527" s="27"/>
    </row>
    <row r="528" ht="15.75" customHeight="1">
      <c r="N528" s="27"/>
    </row>
    <row r="529" ht="15.75" customHeight="1">
      <c r="N529" s="27"/>
    </row>
    <row r="530" ht="15.75" customHeight="1">
      <c r="N530" s="27"/>
    </row>
    <row r="531" ht="15.75" customHeight="1">
      <c r="N531" s="27"/>
    </row>
    <row r="532" ht="15.75" customHeight="1">
      <c r="N532" s="27"/>
    </row>
    <row r="533" ht="15.75" customHeight="1">
      <c r="N533" s="27"/>
    </row>
    <row r="534" ht="15.75" customHeight="1">
      <c r="N534" s="27"/>
    </row>
    <row r="535" ht="15.75" customHeight="1">
      <c r="N535" s="27"/>
    </row>
    <row r="536" ht="15.75" customHeight="1">
      <c r="N536" s="27"/>
    </row>
    <row r="537" ht="15.75" customHeight="1">
      <c r="N537" s="27"/>
    </row>
    <row r="538" ht="15.75" customHeight="1">
      <c r="N538" s="27"/>
    </row>
    <row r="539" ht="15.75" customHeight="1">
      <c r="N539" s="27"/>
    </row>
    <row r="540" ht="15.75" customHeight="1">
      <c r="N540" s="27"/>
    </row>
    <row r="541" ht="15.75" customHeight="1">
      <c r="N541" s="27"/>
    </row>
    <row r="542" ht="15.75" customHeight="1">
      <c r="N542" s="27"/>
    </row>
    <row r="543" ht="15.75" customHeight="1">
      <c r="N543" s="27"/>
    </row>
    <row r="544" ht="15.75" customHeight="1">
      <c r="N544" s="27"/>
    </row>
    <row r="545" ht="15.75" customHeight="1">
      <c r="N545" s="27"/>
    </row>
    <row r="546" ht="15.75" customHeight="1">
      <c r="N546" s="27"/>
    </row>
    <row r="547" ht="15.75" customHeight="1">
      <c r="N547" s="27"/>
    </row>
    <row r="548" ht="15.75" customHeight="1">
      <c r="N548" s="27"/>
    </row>
    <row r="549" ht="15.75" customHeight="1">
      <c r="N549" s="27"/>
    </row>
    <row r="550" ht="15.75" customHeight="1">
      <c r="N550" s="27"/>
    </row>
    <row r="551" ht="15.75" customHeight="1">
      <c r="N551" s="27"/>
    </row>
    <row r="552" ht="15.75" customHeight="1">
      <c r="N552" s="27"/>
    </row>
    <row r="553" ht="15.75" customHeight="1">
      <c r="N553" s="27"/>
    </row>
    <row r="554" ht="15.75" customHeight="1">
      <c r="N554" s="27"/>
    </row>
    <row r="555" ht="15.75" customHeight="1">
      <c r="N555" s="27"/>
    </row>
    <row r="556" ht="15.75" customHeight="1">
      <c r="N556" s="27"/>
    </row>
    <row r="557" ht="15.75" customHeight="1">
      <c r="N557" s="27"/>
    </row>
    <row r="558" ht="15.75" customHeight="1">
      <c r="N558" s="27"/>
    </row>
    <row r="559" ht="15.75" customHeight="1">
      <c r="N559" s="27"/>
    </row>
    <row r="560" ht="15.75" customHeight="1">
      <c r="N560" s="27"/>
    </row>
    <row r="561" ht="15.75" customHeight="1">
      <c r="N561" s="27"/>
    </row>
    <row r="562" ht="15.75" customHeight="1">
      <c r="N562" s="27"/>
    </row>
    <row r="563" ht="15.75" customHeight="1">
      <c r="N563" s="27"/>
    </row>
    <row r="564" ht="15.75" customHeight="1">
      <c r="N564" s="27"/>
    </row>
    <row r="565" ht="15.75" customHeight="1">
      <c r="N565" s="27"/>
    </row>
    <row r="566" ht="15.75" customHeight="1">
      <c r="N566" s="27"/>
    </row>
    <row r="567" ht="15.75" customHeight="1">
      <c r="N567" s="27"/>
    </row>
    <row r="568" ht="15.75" customHeight="1">
      <c r="N568" s="27"/>
    </row>
    <row r="569" ht="15.75" customHeight="1">
      <c r="N569" s="27"/>
    </row>
    <row r="570" ht="15.75" customHeight="1">
      <c r="N570" s="27"/>
    </row>
    <row r="571" ht="15.75" customHeight="1">
      <c r="N571" s="27"/>
    </row>
    <row r="572" ht="15.75" customHeight="1">
      <c r="N572" s="27"/>
    </row>
    <row r="573" ht="15.75" customHeight="1">
      <c r="N573" s="27"/>
    </row>
    <row r="574" ht="15.75" customHeight="1">
      <c r="N574" s="27"/>
    </row>
    <row r="575" ht="15.75" customHeight="1">
      <c r="N575" s="27"/>
    </row>
    <row r="576" ht="15.75" customHeight="1">
      <c r="N576" s="27"/>
    </row>
    <row r="577" ht="15.75" customHeight="1">
      <c r="N577" s="27"/>
    </row>
    <row r="578" ht="15.75" customHeight="1">
      <c r="N578" s="27"/>
    </row>
    <row r="579" ht="15.75" customHeight="1">
      <c r="N579" s="27"/>
    </row>
    <row r="580" ht="15.75" customHeight="1">
      <c r="N580" s="27"/>
    </row>
    <row r="581" ht="15.75" customHeight="1">
      <c r="N581" s="27"/>
    </row>
    <row r="582" ht="15.75" customHeight="1">
      <c r="N582" s="27"/>
    </row>
    <row r="583" ht="15.75" customHeight="1">
      <c r="N583" s="27"/>
    </row>
    <row r="584" ht="15.75" customHeight="1">
      <c r="N584" s="27"/>
    </row>
    <row r="585" ht="15.75" customHeight="1">
      <c r="N585" s="27"/>
    </row>
    <row r="586" ht="15.75" customHeight="1">
      <c r="N586" s="27"/>
    </row>
    <row r="587" ht="15.75" customHeight="1">
      <c r="N587" s="27"/>
    </row>
    <row r="588" ht="15.75" customHeight="1">
      <c r="N588" s="27"/>
    </row>
    <row r="589" ht="15.75" customHeight="1">
      <c r="N589" s="27"/>
    </row>
    <row r="590" ht="15.75" customHeight="1">
      <c r="N590" s="27"/>
    </row>
    <row r="591" ht="15.75" customHeight="1">
      <c r="N591" s="27"/>
    </row>
    <row r="592" ht="15.75" customHeight="1">
      <c r="N592" s="27"/>
    </row>
    <row r="593" ht="15.75" customHeight="1">
      <c r="N593" s="27"/>
    </row>
    <row r="594" ht="15.75" customHeight="1">
      <c r="N594" s="27"/>
    </row>
    <row r="595" ht="15.75" customHeight="1">
      <c r="N595" s="27"/>
    </row>
    <row r="596" ht="15.75" customHeight="1">
      <c r="N596" s="27"/>
    </row>
    <row r="597" ht="15.75" customHeight="1">
      <c r="N597" s="27"/>
    </row>
    <row r="598" ht="15.75" customHeight="1">
      <c r="N598" s="27"/>
    </row>
    <row r="599" ht="15.75" customHeight="1">
      <c r="N599" s="27"/>
    </row>
    <row r="600" ht="15.75" customHeight="1">
      <c r="N600" s="27"/>
    </row>
    <row r="601" ht="15.75" customHeight="1">
      <c r="N601" s="27"/>
    </row>
    <row r="602" ht="15.75" customHeight="1">
      <c r="N602" s="27"/>
    </row>
    <row r="603" ht="15.75" customHeight="1">
      <c r="N603" s="27"/>
    </row>
    <row r="604" ht="15.75" customHeight="1">
      <c r="N604" s="27"/>
    </row>
    <row r="605" ht="15.75" customHeight="1">
      <c r="N605" s="27"/>
    </row>
    <row r="606" ht="15.75" customHeight="1">
      <c r="N606" s="27"/>
    </row>
    <row r="607" ht="15.75" customHeight="1">
      <c r="N607" s="27"/>
    </row>
    <row r="608" ht="15.75" customHeight="1">
      <c r="N608" s="27"/>
    </row>
    <row r="609" ht="15.75" customHeight="1">
      <c r="N609" s="27"/>
    </row>
    <row r="610" ht="15.75" customHeight="1">
      <c r="N610" s="27"/>
    </row>
    <row r="611" ht="15.75" customHeight="1">
      <c r="N611" s="27"/>
    </row>
    <row r="612" ht="15.75" customHeight="1">
      <c r="N612" s="27"/>
    </row>
    <row r="613" ht="15.75" customHeight="1">
      <c r="N613" s="27"/>
    </row>
    <row r="614" ht="15.75" customHeight="1">
      <c r="N614" s="27"/>
    </row>
    <row r="615" ht="15.75" customHeight="1">
      <c r="N615" s="27"/>
    </row>
    <row r="616" ht="15.75" customHeight="1">
      <c r="N616" s="27"/>
    </row>
    <row r="617" ht="15.75" customHeight="1">
      <c r="N617" s="27"/>
    </row>
    <row r="618" ht="15.75" customHeight="1">
      <c r="N618" s="27"/>
    </row>
    <row r="619" ht="15.75" customHeight="1">
      <c r="N619" s="27"/>
    </row>
    <row r="620" ht="15.75" customHeight="1">
      <c r="N620" s="27"/>
    </row>
    <row r="621" ht="15.75" customHeight="1">
      <c r="N621" s="27"/>
    </row>
    <row r="622" ht="15.75" customHeight="1">
      <c r="N622" s="27"/>
    </row>
    <row r="623" ht="15.75" customHeight="1">
      <c r="N623" s="27"/>
    </row>
    <row r="624" ht="15.75" customHeight="1">
      <c r="N624" s="27"/>
    </row>
    <row r="625" ht="15.75" customHeight="1">
      <c r="N625" s="27"/>
    </row>
    <row r="626" ht="15.75" customHeight="1">
      <c r="N626" s="27"/>
    </row>
    <row r="627" ht="15.75" customHeight="1">
      <c r="N627" s="27"/>
    </row>
    <row r="628" ht="15.75" customHeight="1">
      <c r="N628" s="27"/>
    </row>
    <row r="629" ht="15.75" customHeight="1">
      <c r="N629" s="27"/>
    </row>
    <row r="630" ht="15.75" customHeight="1">
      <c r="N630" s="27"/>
    </row>
    <row r="631" ht="15.75" customHeight="1">
      <c r="N631" s="27"/>
    </row>
    <row r="632" ht="15.75" customHeight="1">
      <c r="N632" s="27"/>
    </row>
    <row r="633" ht="15.75" customHeight="1">
      <c r="N633" s="27"/>
    </row>
    <row r="634" ht="15.75" customHeight="1">
      <c r="N634" s="27"/>
    </row>
    <row r="635" ht="15.75" customHeight="1">
      <c r="N635" s="27"/>
    </row>
    <row r="636" ht="15.75" customHeight="1">
      <c r="N636" s="27"/>
    </row>
    <row r="637" ht="15.75" customHeight="1">
      <c r="N637" s="27"/>
    </row>
    <row r="638" ht="15.75" customHeight="1">
      <c r="N638" s="27"/>
    </row>
    <row r="639" ht="15.75" customHeight="1">
      <c r="N639" s="27"/>
    </row>
    <row r="640" ht="15.75" customHeight="1">
      <c r="N640" s="27"/>
    </row>
    <row r="641" ht="15.75" customHeight="1">
      <c r="N641" s="27"/>
    </row>
    <row r="642" ht="15.75" customHeight="1">
      <c r="N642" s="27"/>
    </row>
    <row r="643" ht="15.75" customHeight="1">
      <c r="N643" s="27"/>
    </row>
    <row r="644" ht="15.75" customHeight="1">
      <c r="N644" s="27"/>
    </row>
    <row r="645" ht="15.75" customHeight="1">
      <c r="N645" s="27"/>
    </row>
    <row r="646" ht="15.75" customHeight="1">
      <c r="N646" s="27"/>
    </row>
    <row r="647" ht="15.75" customHeight="1">
      <c r="N647" s="27"/>
    </row>
    <row r="648" ht="15.75" customHeight="1">
      <c r="N648" s="27"/>
    </row>
    <row r="649" ht="15.75" customHeight="1">
      <c r="N649" s="27"/>
    </row>
    <row r="650" ht="15.75" customHeight="1">
      <c r="N650" s="27"/>
    </row>
    <row r="651" ht="15.75" customHeight="1">
      <c r="N651" s="27"/>
    </row>
    <row r="652" ht="15.75" customHeight="1">
      <c r="N652" s="27"/>
    </row>
    <row r="653" ht="15.75" customHeight="1">
      <c r="N653" s="27"/>
    </row>
    <row r="654" ht="15.75" customHeight="1">
      <c r="N654" s="27"/>
    </row>
    <row r="655" ht="15.75" customHeight="1">
      <c r="N655" s="27"/>
    </row>
    <row r="656" ht="15.75" customHeight="1">
      <c r="N656" s="27"/>
    </row>
    <row r="657" ht="15.75" customHeight="1">
      <c r="N657" s="27"/>
    </row>
    <row r="658" ht="15.75" customHeight="1">
      <c r="N658" s="27"/>
    </row>
    <row r="659" ht="15.75" customHeight="1">
      <c r="N659" s="27"/>
    </row>
    <row r="660" ht="15.75" customHeight="1">
      <c r="N660" s="27"/>
    </row>
    <row r="661" ht="15.75" customHeight="1">
      <c r="N661" s="27"/>
    </row>
    <row r="662" ht="15.75" customHeight="1">
      <c r="N662" s="27"/>
    </row>
    <row r="663" ht="15.75" customHeight="1">
      <c r="N663" s="27"/>
    </row>
    <row r="664" ht="15.75" customHeight="1">
      <c r="N664" s="27"/>
    </row>
    <row r="665" ht="15.75" customHeight="1">
      <c r="N665" s="27"/>
    </row>
    <row r="666" ht="15.75" customHeight="1">
      <c r="N666" s="27"/>
    </row>
    <row r="667" ht="15.75" customHeight="1">
      <c r="N667" s="27"/>
    </row>
    <row r="668" ht="15.75" customHeight="1">
      <c r="N668" s="27"/>
    </row>
    <row r="669" ht="15.75" customHeight="1">
      <c r="N669" s="27"/>
    </row>
    <row r="670" ht="15.75" customHeight="1">
      <c r="N670" s="27"/>
    </row>
    <row r="671" ht="15.75" customHeight="1">
      <c r="N671" s="27"/>
    </row>
    <row r="672" ht="15.75" customHeight="1">
      <c r="N672" s="27"/>
    </row>
    <row r="673" ht="15.75" customHeight="1">
      <c r="N673" s="27"/>
    </row>
    <row r="674" ht="15.75" customHeight="1">
      <c r="N674" s="27"/>
    </row>
    <row r="675" ht="15.75" customHeight="1">
      <c r="N675" s="27"/>
    </row>
    <row r="676" ht="15.75" customHeight="1">
      <c r="N676" s="27"/>
    </row>
    <row r="677" ht="15.75" customHeight="1">
      <c r="N677" s="27"/>
    </row>
    <row r="678" ht="15.75" customHeight="1">
      <c r="N678" s="27"/>
    </row>
    <row r="679" ht="15.75" customHeight="1">
      <c r="N679" s="27"/>
    </row>
    <row r="680" ht="15.75" customHeight="1">
      <c r="N680" s="27"/>
    </row>
    <row r="681" ht="15.75" customHeight="1">
      <c r="N681" s="27"/>
    </row>
    <row r="682" ht="15.75" customHeight="1">
      <c r="N682" s="27"/>
    </row>
    <row r="683" ht="15.75" customHeight="1">
      <c r="N683" s="27"/>
    </row>
    <row r="684" ht="15.75" customHeight="1">
      <c r="N684" s="27"/>
    </row>
    <row r="685" ht="15.75" customHeight="1">
      <c r="N685" s="27"/>
    </row>
    <row r="686" ht="15.75" customHeight="1">
      <c r="N686" s="27"/>
    </row>
    <row r="687" ht="15.75" customHeight="1">
      <c r="N687" s="27"/>
    </row>
    <row r="688" ht="15.75" customHeight="1">
      <c r="N688" s="27"/>
    </row>
    <row r="689" ht="15.75" customHeight="1">
      <c r="N689" s="27"/>
    </row>
    <row r="690" ht="15.75" customHeight="1">
      <c r="N690" s="27"/>
    </row>
    <row r="691" ht="15.75" customHeight="1">
      <c r="N691" s="27"/>
    </row>
    <row r="692" ht="15.75" customHeight="1">
      <c r="N692" s="27"/>
    </row>
    <row r="693" ht="15.75" customHeight="1">
      <c r="N693" s="27"/>
    </row>
    <row r="694" ht="15.75" customHeight="1">
      <c r="N694" s="27"/>
    </row>
    <row r="695" ht="15.75" customHeight="1">
      <c r="N695" s="27"/>
    </row>
    <row r="696" ht="15.75" customHeight="1">
      <c r="N696" s="27"/>
    </row>
    <row r="697" ht="15.75" customHeight="1">
      <c r="N697" s="27"/>
    </row>
    <row r="698" ht="15.75" customHeight="1">
      <c r="N698" s="27"/>
    </row>
    <row r="699" ht="15.75" customHeight="1">
      <c r="N699" s="27"/>
    </row>
    <row r="700" ht="15.75" customHeight="1">
      <c r="N700" s="27"/>
    </row>
    <row r="701" ht="15.75" customHeight="1">
      <c r="N701" s="27"/>
    </row>
    <row r="702" ht="15.75" customHeight="1">
      <c r="N702" s="27"/>
    </row>
    <row r="703" ht="15.75" customHeight="1">
      <c r="N703" s="27"/>
    </row>
    <row r="704" ht="15.75" customHeight="1">
      <c r="N704" s="27"/>
    </row>
    <row r="705" ht="15.75" customHeight="1">
      <c r="N705" s="27"/>
    </row>
    <row r="706" ht="15.75" customHeight="1">
      <c r="N706" s="27"/>
    </row>
    <row r="707" ht="15.75" customHeight="1">
      <c r="N707" s="27"/>
    </row>
    <row r="708" ht="15.75" customHeight="1">
      <c r="N708" s="27"/>
    </row>
    <row r="709" ht="15.75" customHeight="1">
      <c r="N709" s="27"/>
    </row>
    <row r="710" ht="15.75" customHeight="1">
      <c r="N710" s="27"/>
    </row>
    <row r="711" ht="15.75" customHeight="1">
      <c r="N711" s="27"/>
    </row>
    <row r="712" ht="15.75" customHeight="1">
      <c r="N712" s="27"/>
    </row>
    <row r="713" ht="15.75" customHeight="1">
      <c r="N713" s="27"/>
    </row>
    <row r="714" ht="15.75" customHeight="1">
      <c r="N714" s="27"/>
    </row>
    <row r="715" ht="15.75" customHeight="1">
      <c r="N715" s="27"/>
    </row>
    <row r="716" ht="15.75" customHeight="1">
      <c r="N716" s="27"/>
    </row>
    <row r="717" ht="15.75" customHeight="1">
      <c r="N717" s="27"/>
    </row>
    <row r="718" ht="15.75" customHeight="1">
      <c r="N718" s="27"/>
    </row>
    <row r="719" ht="15.75" customHeight="1">
      <c r="N719" s="27"/>
    </row>
    <row r="720" ht="15.75" customHeight="1">
      <c r="N720" s="27"/>
    </row>
    <row r="721" ht="15.75" customHeight="1">
      <c r="N721" s="27"/>
    </row>
    <row r="722" ht="15.75" customHeight="1">
      <c r="N722" s="27"/>
    </row>
    <row r="723" ht="15.75" customHeight="1">
      <c r="N723" s="27"/>
    </row>
    <row r="724" ht="15.75" customHeight="1">
      <c r="N724" s="27"/>
    </row>
    <row r="725" ht="15.75" customHeight="1">
      <c r="N725" s="27"/>
    </row>
    <row r="726" ht="15.75" customHeight="1">
      <c r="N726" s="27"/>
    </row>
    <row r="727" ht="15.75" customHeight="1">
      <c r="N727" s="27"/>
    </row>
    <row r="728" ht="15.75" customHeight="1">
      <c r="N728" s="27"/>
    </row>
    <row r="729" ht="15.75" customHeight="1">
      <c r="N729" s="27"/>
    </row>
    <row r="730" ht="15.75" customHeight="1">
      <c r="N730" s="27"/>
    </row>
    <row r="731" ht="15.75" customHeight="1">
      <c r="N731" s="27"/>
    </row>
    <row r="732" ht="15.75" customHeight="1">
      <c r="N732" s="27"/>
    </row>
    <row r="733" ht="15.75" customHeight="1">
      <c r="N733" s="27"/>
    </row>
    <row r="734" ht="15.75" customHeight="1">
      <c r="N734" s="27"/>
    </row>
    <row r="735" ht="15.75" customHeight="1">
      <c r="N735" s="27"/>
    </row>
    <row r="736" ht="15.75" customHeight="1">
      <c r="N736" s="27"/>
    </row>
    <row r="737" ht="15.75" customHeight="1">
      <c r="N737" s="27"/>
    </row>
    <row r="738" ht="15.75" customHeight="1">
      <c r="N738" s="27"/>
    </row>
    <row r="739" ht="15.75" customHeight="1">
      <c r="N739" s="27"/>
    </row>
    <row r="740" ht="15.75" customHeight="1">
      <c r="N740" s="27"/>
    </row>
    <row r="741" ht="15.75" customHeight="1">
      <c r="N741" s="27"/>
    </row>
    <row r="742" ht="15.75" customHeight="1">
      <c r="N742" s="27"/>
    </row>
    <row r="743" ht="15.75" customHeight="1">
      <c r="N743" s="27"/>
    </row>
    <row r="744" ht="15.75" customHeight="1">
      <c r="N744" s="27"/>
    </row>
    <row r="745" ht="15.75" customHeight="1">
      <c r="N745" s="27"/>
    </row>
    <row r="746" ht="15.75" customHeight="1">
      <c r="N746" s="27"/>
    </row>
    <row r="747" ht="15.75" customHeight="1">
      <c r="N747" s="27"/>
    </row>
    <row r="748" ht="15.75" customHeight="1">
      <c r="N748" s="27"/>
    </row>
    <row r="749" ht="15.75" customHeight="1">
      <c r="N749" s="27"/>
    </row>
    <row r="750" ht="15.75" customHeight="1">
      <c r="N750" s="27"/>
    </row>
    <row r="751" ht="15.75" customHeight="1">
      <c r="N751" s="27"/>
    </row>
    <row r="752" ht="15.75" customHeight="1">
      <c r="N752" s="27"/>
    </row>
    <row r="753" ht="15.75" customHeight="1">
      <c r="N753" s="27"/>
    </row>
    <row r="754" ht="15.75" customHeight="1">
      <c r="N754" s="27"/>
    </row>
    <row r="755" ht="15.75" customHeight="1">
      <c r="N755" s="27"/>
    </row>
    <row r="756" ht="15.75" customHeight="1">
      <c r="N756" s="27"/>
    </row>
    <row r="757" ht="15.75" customHeight="1">
      <c r="N757" s="27"/>
    </row>
    <row r="758" ht="15.75" customHeight="1">
      <c r="N758" s="27"/>
    </row>
    <row r="759" ht="15.75" customHeight="1">
      <c r="N759" s="27"/>
    </row>
    <row r="760" ht="15.75" customHeight="1">
      <c r="N760" s="27"/>
    </row>
    <row r="761" ht="15.75" customHeight="1">
      <c r="N761" s="27"/>
    </row>
    <row r="762" ht="15.75" customHeight="1">
      <c r="N762" s="27"/>
    </row>
    <row r="763" ht="15.75" customHeight="1">
      <c r="N763" s="27"/>
    </row>
    <row r="764" ht="15.75" customHeight="1">
      <c r="N764" s="27"/>
    </row>
    <row r="765" ht="15.75" customHeight="1">
      <c r="N765" s="27"/>
    </row>
    <row r="766" ht="15.75" customHeight="1">
      <c r="N766" s="27"/>
    </row>
    <row r="767" ht="15.75" customHeight="1">
      <c r="N767" s="27"/>
    </row>
    <row r="768" ht="15.75" customHeight="1">
      <c r="N768" s="27"/>
    </row>
    <row r="769" ht="15.75" customHeight="1">
      <c r="N769" s="27"/>
    </row>
    <row r="770" ht="15.75" customHeight="1">
      <c r="N770" s="27"/>
    </row>
    <row r="771" ht="15.75" customHeight="1">
      <c r="N771" s="27"/>
    </row>
    <row r="772" ht="15.75" customHeight="1">
      <c r="N772" s="27"/>
    </row>
    <row r="773" ht="15.75" customHeight="1">
      <c r="N773" s="27"/>
    </row>
    <row r="774" ht="15.75" customHeight="1">
      <c r="N774" s="27"/>
    </row>
    <row r="775" ht="15.75" customHeight="1">
      <c r="N775" s="27"/>
    </row>
    <row r="776" ht="15.75" customHeight="1">
      <c r="N776" s="27"/>
    </row>
    <row r="777" ht="15.75" customHeight="1">
      <c r="N777" s="27"/>
    </row>
    <row r="778" ht="15.75" customHeight="1">
      <c r="N778" s="27"/>
    </row>
    <row r="779" ht="15.75" customHeight="1">
      <c r="N779" s="27"/>
    </row>
    <row r="780" ht="15.75" customHeight="1">
      <c r="N780" s="27"/>
    </row>
    <row r="781" ht="15.75" customHeight="1">
      <c r="N781" s="27"/>
    </row>
    <row r="782" ht="15.75" customHeight="1">
      <c r="N782" s="27"/>
    </row>
    <row r="783" ht="15.75" customHeight="1">
      <c r="N783" s="27"/>
    </row>
    <row r="784" ht="15.75" customHeight="1">
      <c r="N784" s="27"/>
    </row>
    <row r="785" ht="15.75" customHeight="1">
      <c r="N785" s="27"/>
    </row>
    <row r="786" ht="15.75" customHeight="1">
      <c r="N786" s="27"/>
    </row>
    <row r="787" ht="15.75" customHeight="1">
      <c r="N787" s="27"/>
    </row>
    <row r="788" ht="15.75" customHeight="1">
      <c r="N788" s="27"/>
    </row>
    <row r="789" ht="15.75" customHeight="1">
      <c r="N789" s="27"/>
    </row>
    <row r="790" ht="15.75" customHeight="1">
      <c r="N790" s="27"/>
    </row>
    <row r="791" ht="15.75" customHeight="1">
      <c r="N791" s="27"/>
    </row>
    <row r="792" ht="15.75" customHeight="1">
      <c r="N792" s="27"/>
    </row>
    <row r="793" ht="15.75" customHeight="1">
      <c r="N793" s="27"/>
    </row>
    <row r="794" ht="15.75" customHeight="1">
      <c r="N794" s="27"/>
    </row>
    <row r="795" ht="15.75" customHeight="1">
      <c r="N795" s="27"/>
    </row>
    <row r="796" ht="15.75" customHeight="1">
      <c r="N796" s="27"/>
    </row>
    <row r="797" ht="15.75" customHeight="1">
      <c r="N797" s="27"/>
    </row>
    <row r="798" ht="15.75" customHeight="1">
      <c r="N798" s="27"/>
    </row>
    <row r="799" ht="15.75" customHeight="1">
      <c r="N799" s="27"/>
    </row>
    <row r="800" ht="15.75" customHeight="1">
      <c r="N800" s="27"/>
    </row>
    <row r="801" ht="15.75" customHeight="1">
      <c r="N801" s="27"/>
    </row>
    <row r="802" ht="15.75" customHeight="1">
      <c r="N802" s="27"/>
    </row>
    <row r="803" ht="15.75" customHeight="1">
      <c r="N803" s="27"/>
    </row>
    <row r="804" ht="15.75" customHeight="1">
      <c r="N804" s="27"/>
    </row>
    <row r="805" ht="15.75" customHeight="1">
      <c r="N805" s="27"/>
    </row>
    <row r="806" ht="15.75" customHeight="1">
      <c r="N806" s="27"/>
    </row>
    <row r="807" ht="15.75" customHeight="1">
      <c r="N807" s="27"/>
    </row>
    <row r="808" ht="15.75" customHeight="1">
      <c r="N808" s="27"/>
    </row>
    <row r="809" ht="15.75" customHeight="1">
      <c r="N809" s="27"/>
    </row>
    <row r="810" ht="15.75" customHeight="1">
      <c r="N810" s="27"/>
    </row>
    <row r="811" ht="15.75" customHeight="1">
      <c r="N811" s="27"/>
    </row>
    <row r="812" ht="15.75" customHeight="1">
      <c r="N812" s="27"/>
    </row>
    <row r="813" ht="15.75" customHeight="1">
      <c r="N813" s="27"/>
    </row>
    <row r="814" ht="15.75" customHeight="1">
      <c r="N814" s="27"/>
    </row>
    <row r="815" ht="15.75" customHeight="1">
      <c r="N815" s="27"/>
    </row>
    <row r="816" ht="15.75" customHeight="1">
      <c r="N816" s="27"/>
    </row>
    <row r="817" ht="15.75" customHeight="1">
      <c r="N817" s="27"/>
    </row>
    <row r="818" ht="15.75" customHeight="1">
      <c r="N818" s="27"/>
    </row>
    <row r="819" ht="15.75" customHeight="1">
      <c r="N819" s="27"/>
    </row>
    <row r="820" ht="15.75" customHeight="1">
      <c r="N820" s="27"/>
    </row>
    <row r="821" ht="15.75" customHeight="1">
      <c r="N821" s="27"/>
    </row>
    <row r="822" ht="15.75" customHeight="1">
      <c r="N822" s="27"/>
    </row>
    <row r="823" ht="15.75" customHeight="1">
      <c r="N823" s="27"/>
    </row>
    <row r="824" ht="15.75" customHeight="1">
      <c r="N824" s="27"/>
    </row>
    <row r="825" ht="15.75" customHeight="1">
      <c r="N825" s="27"/>
    </row>
    <row r="826" ht="15.75" customHeight="1">
      <c r="N826" s="27"/>
    </row>
    <row r="827" ht="15.75" customHeight="1">
      <c r="N827" s="27"/>
    </row>
    <row r="828" ht="15.75" customHeight="1">
      <c r="N828" s="27"/>
    </row>
    <row r="829" ht="15.75" customHeight="1">
      <c r="N829" s="27"/>
    </row>
    <row r="830" ht="15.75" customHeight="1">
      <c r="N830" s="27"/>
    </row>
    <row r="831" ht="15.75" customHeight="1">
      <c r="N831" s="27"/>
    </row>
    <row r="832" ht="15.75" customHeight="1">
      <c r="N832" s="27"/>
    </row>
    <row r="833" ht="15.75" customHeight="1">
      <c r="N833" s="27"/>
    </row>
    <row r="834" ht="15.75" customHeight="1">
      <c r="N834" s="27"/>
    </row>
    <row r="835" ht="15.75" customHeight="1">
      <c r="N835" s="27"/>
    </row>
    <row r="836" ht="15.75" customHeight="1">
      <c r="N836" s="27"/>
    </row>
    <row r="837" ht="15.75" customHeight="1">
      <c r="N837" s="27"/>
    </row>
    <row r="838" ht="15.75" customHeight="1">
      <c r="N838" s="27"/>
    </row>
    <row r="839" ht="15.75" customHeight="1">
      <c r="N839" s="27"/>
    </row>
    <row r="840" ht="15.75" customHeight="1">
      <c r="N840" s="27"/>
    </row>
    <row r="841" ht="15.75" customHeight="1">
      <c r="N841" s="27"/>
    </row>
    <row r="842" ht="15.75" customHeight="1">
      <c r="N842" s="27"/>
    </row>
    <row r="843" ht="15.75" customHeight="1">
      <c r="N843" s="27"/>
    </row>
    <row r="844" ht="15.75" customHeight="1">
      <c r="N844" s="27"/>
    </row>
    <row r="845" ht="15.75" customHeight="1">
      <c r="N845" s="27"/>
    </row>
    <row r="846" ht="15.75" customHeight="1">
      <c r="N846" s="27"/>
    </row>
    <row r="847" ht="15.75" customHeight="1">
      <c r="N847" s="27"/>
    </row>
    <row r="848" ht="15.75" customHeight="1">
      <c r="N848" s="27"/>
    </row>
    <row r="849" ht="15.75" customHeight="1">
      <c r="N849" s="27"/>
    </row>
    <row r="850" ht="15.75" customHeight="1">
      <c r="N850" s="27"/>
    </row>
    <row r="851" ht="15.75" customHeight="1">
      <c r="N851" s="27"/>
    </row>
    <row r="852" ht="15.75" customHeight="1">
      <c r="N852" s="27"/>
    </row>
    <row r="853" ht="15.75" customHeight="1">
      <c r="N853" s="27"/>
    </row>
    <row r="854" ht="15.75" customHeight="1">
      <c r="N854" s="27"/>
    </row>
    <row r="855" ht="15.75" customHeight="1">
      <c r="N855" s="27"/>
    </row>
    <row r="856" ht="15.75" customHeight="1">
      <c r="N856" s="27"/>
    </row>
    <row r="857" ht="15.75" customHeight="1">
      <c r="N857" s="27"/>
    </row>
    <row r="858" ht="15.75" customHeight="1">
      <c r="N858" s="27"/>
    </row>
    <row r="859" ht="15.75" customHeight="1">
      <c r="N859" s="27"/>
    </row>
    <row r="860" ht="15.75" customHeight="1">
      <c r="N860" s="27"/>
    </row>
    <row r="861" ht="15.75" customHeight="1">
      <c r="N861" s="27"/>
    </row>
    <row r="862" ht="15.75" customHeight="1">
      <c r="N862" s="27"/>
    </row>
    <row r="863" ht="15.75" customHeight="1">
      <c r="N863" s="27"/>
    </row>
    <row r="864" ht="15.75" customHeight="1">
      <c r="N864" s="27"/>
    </row>
    <row r="865" ht="15.75" customHeight="1">
      <c r="N865" s="27"/>
    </row>
    <row r="866" ht="15.75" customHeight="1">
      <c r="N866" s="27"/>
    </row>
    <row r="867" ht="15.75" customHeight="1">
      <c r="N867" s="27"/>
    </row>
    <row r="868" ht="15.75" customHeight="1">
      <c r="N868" s="27"/>
    </row>
    <row r="869" ht="15.75" customHeight="1">
      <c r="N869" s="27"/>
    </row>
    <row r="870" ht="15.75" customHeight="1">
      <c r="N870" s="27"/>
    </row>
    <row r="871" ht="15.75" customHeight="1">
      <c r="N871" s="27"/>
    </row>
    <row r="872" ht="15.75" customHeight="1">
      <c r="N872" s="27"/>
    </row>
    <row r="873" ht="15.75" customHeight="1">
      <c r="N873" s="27"/>
    </row>
    <row r="874" ht="15.75" customHeight="1">
      <c r="N874" s="27"/>
    </row>
    <row r="875" ht="15.75" customHeight="1">
      <c r="N875" s="27"/>
    </row>
    <row r="876" ht="15.75" customHeight="1">
      <c r="N876" s="27"/>
    </row>
    <row r="877" ht="15.75" customHeight="1">
      <c r="N877" s="27"/>
    </row>
    <row r="878" ht="15.75" customHeight="1">
      <c r="N878" s="27"/>
    </row>
    <row r="879" ht="15.75" customHeight="1">
      <c r="N879" s="27"/>
    </row>
    <row r="880" ht="15.75" customHeight="1">
      <c r="N880" s="27"/>
    </row>
    <row r="881" ht="15.75" customHeight="1">
      <c r="N881" s="27"/>
    </row>
    <row r="882" ht="15.75" customHeight="1">
      <c r="N882" s="27"/>
    </row>
    <row r="883" ht="15.75" customHeight="1">
      <c r="N883" s="27"/>
    </row>
    <row r="884" ht="15.75" customHeight="1">
      <c r="N884" s="27"/>
    </row>
    <row r="885" ht="15.75" customHeight="1">
      <c r="N885" s="27"/>
    </row>
    <row r="886" ht="15.75" customHeight="1">
      <c r="N886" s="27"/>
    </row>
    <row r="887" ht="15.75" customHeight="1">
      <c r="N887" s="27"/>
    </row>
    <row r="888" ht="15.75" customHeight="1">
      <c r="N888" s="27"/>
    </row>
    <row r="889" ht="15.75" customHeight="1">
      <c r="N889" s="27"/>
    </row>
    <row r="890" ht="15.75" customHeight="1">
      <c r="N890" s="27"/>
    </row>
    <row r="891" ht="15.75" customHeight="1">
      <c r="N891" s="27"/>
    </row>
    <row r="892" ht="15.75" customHeight="1">
      <c r="N892" s="27"/>
    </row>
    <row r="893" ht="15.75" customHeight="1">
      <c r="N893" s="27"/>
    </row>
    <row r="894" ht="15.75" customHeight="1">
      <c r="N894" s="27"/>
    </row>
    <row r="895" ht="15.75" customHeight="1">
      <c r="N895" s="27"/>
    </row>
    <row r="896" ht="15.75" customHeight="1">
      <c r="N896" s="27"/>
    </row>
    <row r="897" ht="15.75" customHeight="1">
      <c r="N897" s="27"/>
    </row>
    <row r="898" ht="15.75" customHeight="1">
      <c r="N898" s="27"/>
    </row>
    <row r="899" ht="15.75" customHeight="1">
      <c r="N899" s="27"/>
    </row>
    <row r="900" ht="15.75" customHeight="1">
      <c r="N900" s="27"/>
    </row>
    <row r="901" ht="15.75" customHeight="1">
      <c r="N901" s="27"/>
    </row>
    <row r="902" ht="15.75" customHeight="1">
      <c r="N902" s="27"/>
    </row>
    <row r="903" ht="15.75" customHeight="1">
      <c r="N903" s="27"/>
    </row>
    <row r="904" ht="15.75" customHeight="1">
      <c r="N904" s="27"/>
    </row>
    <row r="905" ht="15.75" customHeight="1">
      <c r="N905" s="27"/>
    </row>
    <row r="906" ht="15.75" customHeight="1">
      <c r="N906" s="27"/>
    </row>
    <row r="907" ht="15.75" customHeight="1">
      <c r="N907" s="27"/>
    </row>
    <row r="908" ht="15.75" customHeight="1">
      <c r="N908" s="27"/>
    </row>
    <row r="909" ht="15.75" customHeight="1">
      <c r="N909" s="27"/>
    </row>
    <row r="910" ht="15.75" customHeight="1">
      <c r="N910" s="27"/>
    </row>
    <row r="911" ht="15.75" customHeight="1">
      <c r="N911" s="27"/>
    </row>
    <row r="912" ht="15.75" customHeight="1">
      <c r="N912" s="27"/>
    </row>
    <row r="913" ht="15.75" customHeight="1">
      <c r="N913" s="27"/>
    </row>
    <row r="914" ht="15.75" customHeight="1">
      <c r="N914" s="27"/>
    </row>
    <row r="915" ht="15.75" customHeight="1">
      <c r="N915" s="27"/>
    </row>
    <row r="916" ht="15.75" customHeight="1">
      <c r="N916" s="27"/>
    </row>
    <row r="917" ht="15.75" customHeight="1">
      <c r="N917" s="27"/>
    </row>
    <row r="918" ht="15.75" customHeight="1">
      <c r="N918" s="27"/>
    </row>
    <row r="919" ht="15.75" customHeight="1">
      <c r="N919" s="27"/>
    </row>
    <row r="920" ht="15.75" customHeight="1">
      <c r="N920" s="27"/>
    </row>
    <row r="921" ht="15.75" customHeight="1">
      <c r="N921" s="27"/>
    </row>
    <row r="922" ht="15.75" customHeight="1">
      <c r="N922" s="27"/>
    </row>
    <row r="923" ht="15.75" customHeight="1">
      <c r="N923" s="27"/>
    </row>
    <row r="924" ht="15.75" customHeight="1">
      <c r="N924" s="27"/>
    </row>
    <row r="925" ht="15.75" customHeight="1">
      <c r="N925" s="27"/>
    </row>
    <row r="926" ht="15.75" customHeight="1">
      <c r="N926" s="27"/>
    </row>
    <row r="927" ht="15.75" customHeight="1">
      <c r="N927" s="27"/>
    </row>
    <row r="928" ht="15.75" customHeight="1">
      <c r="N928" s="27"/>
    </row>
    <row r="929" ht="15.75" customHeight="1">
      <c r="N929" s="27"/>
    </row>
    <row r="930" ht="15.75" customHeight="1">
      <c r="N930" s="27"/>
    </row>
    <row r="931" ht="15.75" customHeight="1">
      <c r="N931" s="27"/>
    </row>
    <row r="932" ht="15.75" customHeight="1">
      <c r="N932" s="27"/>
    </row>
    <row r="933" ht="15.75" customHeight="1">
      <c r="N933" s="27"/>
    </row>
    <row r="934" ht="15.75" customHeight="1">
      <c r="N934" s="27"/>
    </row>
    <row r="935" ht="15.75" customHeight="1">
      <c r="N935" s="27"/>
    </row>
    <row r="936" ht="15.75" customHeight="1">
      <c r="N936" s="27"/>
    </row>
    <row r="937" ht="15.75" customHeight="1">
      <c r="N937" s="27"/>
    </row>
    <row r="938" ht="15.75" customHeight="1">
      <c r="N938" s="27"/>
    </row>
    <row r="939" ht="15.75" customHeight="1">
      <c r="N939" s="27"/>
    </row>
    <row r="940" ht="15.75" customHeight="1">
      <c r="N940" s="27"/>
    </row>
    <row r="941" ht="15.75" customHeight="1">
      <c r="N941" s="27"/>
    </row>
    <row r="942" ht="15.75" customHeight="1">
      <c r="N942" s="27"/>
    </row>
    <row r="943" ht="15.75" customHeight="1">
      <c r="N943" s="27"/>
    </row>
    <row r="944" ht="15.75" customHeight="1">
      <c r="N944" s="27"/>
    </row>
    <row r="945" ht="15.75" customHeight="1">
      <c r="N945" s="27"/>
    </row>
    <row r="946" ht="15.75" customHeight="1">
      <c r="N946" s="27"/>
    </row>
    <row r="947" ht="15.75" customHeight="1">
      <c r="N947" s="27"/>
    </row>
    <row r="948" ht="15.75" customHeight="1">
      <c r="N948" s="27"/>
    </row>
    <row r="949" ht="15.75" customHeight="1">
      <c r="N949" s="27"/>
    </row>
    <row r="950" ht="15.75" customHeight="1">
      <c r="N950" s="27"/>
    </row>
    <row r="951" ht="15.75" customHeight="1">
      <c r="N951" s="27"/>
    </row>
    <row r="952" ht="15.75" customHeight="1">
      <c r="N952" s="27"/>
    </row>
    <row r="953" ht="15.75" customHeight="1">
      <c r="N953" s="27"/>
    </row>
    <row r="954" ht="15.75" customHeight="1">
      <c r="N954" s="27"/>
    </row>
    <row r="955" ht="15.75" customHeight="1">
      <c r="N955" s="27"/>
    </row>
    <row r="956" ht="15.75" customHeight="1">
      <c r="N956" s="27"/>
    </row>
    <row r="957" ht="15.75" customHeight="1">
      <c r="N957" s="27"/>
    </row>
    <row r="958" ht="15.75" customHeight="1">
      <c r="N958" s="27"/>
    </row>
    <row r="959" ht="15.75" customHeight="1">
      <c r="N959" s="27"/>
    </row>
    <row r="960" ht="15.75" customHeight="1">
      <c r="N960" s="27"/>
    </row>
    <row r="961" ht="15.75" customHeight="1">
      <c r="N961" s="27"/>
    </row>
    <row r="962" ht="15.75" customHeight="1">
      <c r="N962" s="27"/>
    </row>
    <row r="963" ht="15.75" customHeight="1">
      <c r="N963" s="27"/>
    </row>
    <row r="964" ht="15.75" customHeight="1">
      <c r="N964" s="27"/>
    </row>
    <row r="965" ht="15.75" customHeight="1">
      <c r="N965" s="27"/>
    </row>
    <row r="966" ht="15.75" customHeight="1">
      <c r="N966" s="27"/>
    </row>
    <row r="967" ht="15.75" customHeight="1">
      <c r="N967" s="27"/>
    </row>
    <row r="968" ht="15.75" customHeight="1">
      <c r="N968" s="27"/>
    </row>
    <row r="969" ht="15.75" customHeight="1">
      <c r="N969" s="27"/>
    </row>
    <row r="970" ht="15.75" customHeight="1">
      <c r="N970" s="27"/>
    </row>
    <row r="971" ht="15.75" customHeight="1">
      <c r="N971" s="27"/>
    </row>
    <row r="972" ht="15.75" customHeight="1">
      <c r="N972" s="27"/>
    </row>
    <row r="973" ht="15.75" customHeight="1">
      <c r="N973" s="27"/>
    </row>
    <row r="974" ht="15.75" customHeight="1">
      <c r="N974" s="27"/>
    </row>
    <row r="975" ht="15.75" customHeight="1">
      <c r="N975" s="27"/>
    </row>
    <row r="976" ht="15.75" customHeight="1">
      <c r="N976" s="27"/>
    </row>
    <row r="977" ht="15.75" customHeight="1">
      <c r="N977" s="27"/>
    </row>
    <row r="978" ht="15.75" customHeight="1">
      <c r="N978" s="27"/>
    </row>
    <row r="979" ht="15.75" customHeight="1">
      <c r="N979" s="27"/>
    </row>
    <row r="980" ht="15.75" customHeight="1">
      <c r="N980" s="27"/>
    </row>
    <row r="981" ht="15.75" customHeight="1">
      <c r="N981" s="27"/>
    </row>
    <row r="982" ht="15.75" customHeight="1">
      <c r="N982" s="27"/>
    </row>
    <row r="983" ht="15.75" customHeight="1">
      <c r="N983" s="27"/>
    </row>
    <row r="984" ht="15.75" customHeight="1">
      <c r="N984" s="27"/>
    </row>
    <row r="985" ht="15.75" customHeight="1">
      <c r="N985" s="27"/>
    </row>
    <row r="986" ht="15.75" customHeight="1">
      <c r="N986" s="27"/>
    </row>
    <row r="987" ht="15.75" customHeight="1">
      <c r="N987" s="27"/>
    </row>
    <row r="988" ht="15.75" customHeight="1">
      <c r="N988" s="27"/>
    </row>
    <row r="989" ht="15.75" customHeight="1">
      <c r="N989" s="27"/>
    </row>
    <row r="990" ht="15.75" customHeight="1">
      <c r="N990" s="27"/>
    </row>
    <row r="991" ht="15.75" customHeight="1">
      <c r="N991" s="27"/>
    </row>
    <row r="992" ht="15.75" customHeight="1">
      <c r="N992" s="27"/>
    </row>
    <row r="993" ht="15.75" customHeight="1">
      <c r="N993" s="27"/>
    </row>
    <row r="994" ht="15.75" customHeight="1">
      <c r="N994" s="27"/>
    </row>
    <row r="995" ht="15.75" customHeight="1">
      <c r="N995" s="27"/>
    </row>
    <row r="996" ht="15.75" customHeight="1">
      <c r="N996" s="27"/>
    </row>
    <row r="997" ht="15.75" customHeight="1">
      <c r="N997" s="27"/>
    </row>
    <row r="998" ht="15.75" customHeight="1">
      <c r="N998" s="27"/>
    </row>
    <row r="999" ht="15.75" customHeight="1">
      <c r="N999" s="27"/>
    </row>
    <row r="1000" ht="15.75" customHeight="1">
      <c r="N1000" s="27"/>
    </row>
    <row r="1001" ht="15.75" customHeight="1">
      <c r="N1001" s="27"/>
    </row>
    <row r="1002" ht="15.75" customHeight="1">
      <c r="N1002" s="27"/>
    </row>
    <row r="1003" ht="15.75" customHeight="1">
      <c r="N1003" s="27"/>
    </row>
  </sheetData>
  <autoFilter ref="$A$4:$M$9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2026-09-15T09:42:14Z</dcterms:created>
  <dc:creator>openpyxl</dc:creator>
</cp:coreProperties>
</file>